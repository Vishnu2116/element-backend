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tanushri_sharma_in_ey_com/Documents/ELEMENT/ELEMENT, Tripura PMC/02. Component 2 Restoration/Plantation Kobo Toolbox Data/"/>
    </mc:Choice>
  </mc:AlternateContent>
  <xr:revisionPtr revIDLastSave="64" documentId="8_{67034B39-B9F9-431F-9511-4C188DA49352}" xr6:coauthVersionLast="47" xr6:coauthVersionMax="47" xr10:uidLastSave="{462DBD78-1F19-40F8-BC95-9DB37D3CBE4C}"/>
  <bookViews>
    <workbookView xWindow="-110" yWindow="-110" windowWidth="19420" windowHeight="11500" xr2:uid="{EA072B5B-3826-4409-A1A0-FEF20C7275E9}"/>
  </bookViews>
  <sheets>
    <sheet name="KMLs" sheetId="1" r:id="rId1"/>
    <sheet name="Sheet1" sheetId="2" r:id="rId2"/>
  </sheets>
  <definedNames>
    <definedName name="_xlnm._FilterDatabase" localSheetId="0" hidden="1">KMLs!$A$1:$K$329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7" i="1" l="1"/>
  <c r="G314" i="1"/>
  <c r="G306" i="1"/>
  <c r="G282" i="1"/>
  <c r="G276" i="1"/>
  <c r="G241" i="1"/>
  <c r="G200" i="1"/>
  <c r="G195" i="1"/>
  <c r="G187" i="1"/>
  <c r="G147" i="1"/>
  <c r="G106" i="1"/>
  <c r="G84" i="1"/>
  <c r="G25" i="1"/>
  <c r="G20" i="1"/>
  <c r="G17" i="1"/>
  <c r="G7" i="1"/>
  <c r="G26" i="1" l="1"/>
  <c r="G328" i="1"/>
  <c r="G188" i="1"/>
  <c r="G201" i="1"/>
  <c r="G18" i="1"/>
  <c r="G107" i="1"/>
  <c r="G307" i="1"/>
  <c r="G277" i="1"/>
  <c r="G27" i="1" l="1"/>
</calcChain>
</file>

<file path=xl/sharedStrings.xml><?xml version="1.0" encoding="utf-8"?>
<sst xmlns="http://schemas.openxmlformats.org/spreadsheetml/2006/main" count="1163" uniqueCount="575">
  <si>
    <t>Sl. No.</t>
  </si>
  <si>
    <t>Name of the District</t>
  </si>
  <si>
    <t>Name of the Sub-Division</t>
  </si>
  <si>
    <t>Name of the Range</t>
  </si>
  <si>
    <t>Name of the Beat</t>
  </si>
  <si>
    <t>JFMC as per sanction</t>
  </si>
  <si>
    <t>Area as per sanction</t>
  </si>
  <si>
    <t>Area as per KOBO</t>
  </si>
  <si>
    <t>KML Files</t>
  </si>
  <si>
    <t>Remarks</t>
  </si>
  <si>
    <t>Overlapping area ID/Name</t>
  </si>
  <si>
    <t>North</t>
  </si>
  <si>
    <t>Dharmanagar</t>
  </si>
  <si>
    <t>Panisagar</t>
  </si>
  <si>
    <t>Bagbassa</t>
  </si>
  <si>
    <t>Longvon</t>
  </si>
  <si>
    <t>1778162165004.kml</t>
  </si>
  <si>
    <t>No</t>
  </si>
  <si>
    <t>Halflong</t>
  </si>
  <si>
    <t>Hamari</t>
  </si>
  <si>
    <t>1778158711038.kml</t>
  </si>
  <si>
    <t>Damcherra</t>
  </si>
  <si>
    <t>Bangsul</t>
  </si>
  <si>
    <t>Dr. Dowalpara</t>
  </si>
  <si>
    <t>1778157577916.kml</t>
  </si>
  <si>
    <t>Thumsaraipara</t>
  </si>
  <si>
    <t>Purnaram Para</t>
  </si>
  <si>
    <t>to be revisited</t>
  </si>
  <si>
    <t>Khedacherra</t>
  </si>
  <si>
    <t>Duganga Para</t>
  </si>
  <si>
    <t>Sub-total of ANR</t>
  </si>
  <si>
    <t>Kanchanpur</t>
  </si>
  <si>
    <t>Dupatacherra</t>
  </si>
  <si>
    <t>1778236573956.kml</t>
  </si>
  <si>
    <t>Yes</t>
  </si>
  <si>
    <t>SCATFORM PPA</t>
  </si>
  <si>
    <t>Kanchancherra</t>
  </si>
  <si>
    <t>Birmani Para</t>
  </si>
  <si>
    <t>1778236675886.kml</t>
  </si>
  <si>
    <t>Rabamanipara</t>
  </si>
  <si>
    <t>1778210383171.kml</t>
  </si>
  <si>
    <t>Laljuri</t>
  </si>
  <si>
    <t>Natunbazar</t>
  </si>
  <si>
    <t>1778208805219.kml</t>
  </si>
  <si>
    <t>North Laljuri</t>
  </si>
  <si>
    <t>Dakshin Laljuri</t>
  </si>
  <si>
    <t>1778236273432.kml</t>
  </si>
  <si>
    <t>Jampui</t>
  </si>
  <si>
    <t>Vanghmun</t>
  </si>
  <si>
    <t>Kalagang</t>
  </si>
  <si>
    <t>1778163555962.kml</t>
  </si>
  <si>
    <t>Laxmipur</t>
  </si>
  <si>
    <t>SK Shermun</t>
  </si>
  <si>
    <t>S.K. Tlangsang</t>
  </si>
  <si>
    <t>1778184659468.kml</t>
  </si>
  <si>
    <t>Bhandarima</t>
  </si>
  <si>
    <t>Bishamani Para</t>
  </si>
  <si>
    <t>1778208520027.kml</t>
  </si>
  <si>
    <t>Dasda</t>
  </si>
  <si>
    <t>Baganbari</t>
  </si>
  <si>
    <t>1778183942091.kml</t>
  </si>
  <si>
    <t>District ANR Total</t>
  </si>
  <si>
    <t>Laichak Para</t>
  </si>
  <si>
    <t>1778157609731.kml</t>
  </si>
  <si>
    <t>Sub-total of AR</t>
  </si>
  <si>
    <t>Sananda Para</t>
  </si>
  <si>
    <t>1778208648216.kml</t>
  </si>
  <si>
    <t>1778208942402.kml</t>
  </si>
  <si>
    <t>1778209908427.kml</t>
  </si>
  <si>
    <t>1778207210016.kml</t>
  </si>
  <si>
    <t>District AR Total</t>
  </si>
  <si>
    <t>District Total</t>
  </si>
  <si>
    <t>Gomati</t>
  </si>
  <si>
    <t>Amarpur</t>
  </si>
  <si>
    <t>Debbari</t>
  </si>
  <si>
    <t>Chapiabari</t>
  </si>
  <si>
    <t>1778049328518.kml</t>
  </si>
  <si>
    <t>Yakhli</t>
  </si>
  <si>
    <t>1778047530716.kml</t>
  </si>
  <si>
    <t>Kalajhari</t>
  </si>
  <si>
    <t>Kalajhari Bru</t>
  </si>
  <si>
    <t>1778047432715.kml</t>
  </si>
  <si>
    <t>Burburia</t>
  </si>
  <si>
    <t>1778481144851.kml</t>
  </si>
  <si>
    <t>Kurmabari</t>
  </si>
  <si>
    <t xml:space="preserve">Kurmachara </t>
  </si>
  <si>
    <t>1778306656709.kml</t>
  </si>
  <si>
    <t>Nidhirama</t>
  </si>
  <si>
    <t>1778573436219.kml</t>
  </si>
  <si>
    <t>1778573646598.kml</t>
  </si>
  <si>
    <t>Kurmacherra</t>
  </si>
  <si>
    <t>Sarbong</t>
  </si>
  <si>
    <t>Chungsaka</t>
  </si>
  <si>
    <t>1778219515426.kml</t>
  </si>
  <si>
    <t>East Sarbong</t>
  </si>
  <si>
    <t>1778220204368.kml</t>
  </si>
  <si>
    <t>Ampi</t>
  </si>
  <si>
    <t>Dhanlekha</t>
  </si>
  <si>
    <t>Jalaiya Para</t>
  </si>
  <si>
    <t>1778064309017.kml</t>
  </si>
  <si>
    <t>Chechua</t>
  </si>
  <si>
    <t>Sonacherra</t>
  </si>
  <si>
    <t>1778077391774.kml</t>
  </si>
  <si>
    <t>Daijjak</t>
  </si>
  <si>
    <t>1778074455701.kml</t>
  </si>
  <si>
    <t>Taidu</t>
  </si>
  <si>
    <t>Pelpui</t>
  </si>
  <si>
    <t>1778065595412.kml</t>
  </si>
  <si>
    <t>Sisamung</t>
  </si>
  <si>
    <t>1778065027152.kml</t>
  </si>
  <si>
    <t>1778065304664.kml</t>
  </si>
  <si>
    <t>Ekjanchara</t>
  </si>
  <si>
    <t>Molungther</t>
  </si>
  <si>
    <t>1778063811220.kml</t>
  </si>
  <si>
    <t>Devendra Para</t>
  </si>
  <si>
    <t>1778062194565.kml</t>
  </si>
  <si>
    <t>Chankhala</t>
  </si>
  <si>
    <t>Jambukchara</t>
  </si>
  <si>
    <t>1778054301163.kml</t>
  </si>
  <si>
    <t>Ampi RGV</t>
  </si>
  <si>
    <t>1778053154177.kml</t>
  </si>
  <si>
    <t>Karbook</t>
  </si>
  <si>
    <t>Tirthamukh</t>
  </si>
  <si>
    <t>Dyke-IV</t>
  </si>
  <si>
    <t>Jersing Para</t>
  </si>
  <si>
    <t>1778067502698.kml</t>
  </si>
  <si>
    <t>1778067850066.kml</t>
  </si>
  <si>
    <t>Rambhadra</t>
  </si>
  <si>
    <t>1778067212291.kml</t>
  </si>
  <si>
    <t>Dipchand Para</t>
  </si>
  <si>
    <t>1778066760440.kml</t>
  </si>
  <si>
    <t>Mandhirghat</t>
  </si>
  <si>
    <t>Yak Thengha</t>
  </si>
  <si>
    <t>1778066474104.kml</t>
  </si>
  <si>
    <t>Sharma Twisa</t>
  </si>
  <si>
    <t>1778066071572.kml</t>
  </si>
  <si>
    <t>Raima Valley</t>
  </si>
  <si>
    <t>1778064551844.kml</t>
  </si>
  <si>
    <t>Laxmindhar Para</t>
  </si>
  <si>
    <t>1778063442046.kml</t>
  </si>
  <si>
    <t>Silachari</t>
  </si>
  <si>
    <t>Gomati Kotor</t>
  </si>
  <si>
    <t>1778059082052.kml</t>
  </si>
  <si>
    <t>Ailmara</t>
  </si>
  <si>
    <t>Jeciwa</t>
  </si>
  <si>
    <t>1778223066196.kml</t>
  </si>
  <si>
    <t>Agragami</t>
  </si>
  <si>
    <t>1778142187716.kml</t>
  </si>
  <si>
    <t>Abhi Kumar</t>
  </si>
  <si>
    <t>1778223386527.kml</t>
  </si>
  <si>
    <t>Suknachari</t>
  </si>
  <si>
    <t>Mresana</t>
  </si>
  <si>
    <t>1778155290331.kml</t>
  </si>
  <si>
    <t>Bagachatla</t>
  </si>
  <si>
    <t>Magrum</t>
  </si>
  <si>
    <t>1778155928949.kml</t>
  </si>
  <si>
    <t>Puran Bari</t>
  </si>
  <si>
    <t>1778222730826.kml</t>
  </si>
  <si>
    <t>Ghorakappa</t>
  </si>
  <si>
    <t>1778224200077.kml</t>
  </si>
  <si>
    <t>Fulchari</t>
  </si>
  <si>
    <t>1778224879837.kml</t>
  </si>
  <si>
    <t>Lowgang</t>
  </si>
  <si>
    <t>Twisama</t>
  </si>
  <si>
    <t>1778225281245.kml</t>
  </si>
  <si>
    <t>Bairagi Dokan</t>
  </si>
  <si>
    <t>Tangkrak Badal</t>
  </si>
  <si>
    <t>1778226715515.kml</t>
  </si>
  <si>
    <t>1778226958998.kml</t>
  </si>
  <si>
    <t>Ramchandra Para</t>
  </si>
  <si>
    <t>1778226163667.kml</t>
  </si>
  <si>
    <t>Udaipur</t>
  </si>
  <si>
    <t>Paratia</t>
  </si>
  <si>
    <t>Hatipacha</t>
  </si>
  <si>
    <t>1778064587430.kml</t>
  </si>
  <si>
    <t>Warrangbari</t>
  </si>
  <si>
    <t>1778143744427.kml</t>
  </si>
  <si>
    <t>Sungrung</t>
  </si>
  <si>
    <t>1778144159157.kml</t>
  </si>
  <si>
    <t>Kalpataru</t>
  </si>
  <si>
    <t>1778486639524.kml</t>
  </si>
  <si>
    <t>1778486744591.kml</t>
  </si>
  <si>
    <t>Bagma</t>
  </si>
  <si>
    <t>Greenland</t>
  </si>
  <si>
    <t>1778477492827.bin</t>
  </si>
  <si>
    <t>Sourasabuj</t>
  </si>
  <si>
    <t>1778484804197.kml</t>
  </si>
  <si>
    <t>Jibansathi</t>
  </si>
  <si>
    <t>1778485371033.kml</t>
  </si>
  <si>
    <t>Kakraban</t>
  </si>
  <si>
    <t>Jamjuri</t>
  </si>
  <si>
    <t>D. Banashree</t>
  </si>
  <si>
    <t>1778146092683.kml</t>
  </si>
  <si>
    <t>Murapara</t>
  </si>
  <si>
    <t>B.U.O. Sramik Kalyan</t>
  </si>
  <si>
    <t>1778145458308.kml</t>
  </si>
  <si>
    <t>Killa</t>
  </si>
  <si>
    <t>Charthai</t>
  </si>
  <si>
    <t>1778239203261.kml</t>
  </si>
  <si>
    <t>T.C. Bari</t>
  </si>
  <si>
    <t xml:space="preserve">Atharabhola Luku </t>
  </si>
  <si>
    <t>1778239529241.kml</t>
  </si>
  <si>
    <t>Nityabazar</t>
  </si>
  <si>
    <t>Twichakathor</t>
  </si>
  <si>
    <t>1778486946252.kml</t>
  </si>
  <si>
    <t>Dakmura</t>
  </si>
  <si>
    <t>1778486831889.kml</t>
  </si>
  <si>
    <t>Uttar Baramura</t>
  </si>
  <si>
    <t>Twinaklai Kolai</t>
  </si>
  <si>
    <t>1778238959388.kml</t>
  </si>
  <si>
    <t>Sub-total of ANR Bamboo (District ANR total)</t>
  </si>
  <si>
    <t>1778077631004.kml</t>
  </si>
  <si>
    <t>1778076204889.kml</t>
  </si>
  <si>
    <t>Jalai</t>
  </si>
  <si>
    <t>1778064724723.kml</t>
  </si>
  <si>
    <t>1778054817941.kml</t>
  </si>
  <si>
    <t>1778573838437.kml</t>
  </si>
  <si>
    <t>1778220628748.kml</t>
  </si>
  <si>
    <t>1778221158444.kml</t>
  </si>
  <si>
    <t>Dalak</t>
  </si>
  <si>
    <t>1778062580491.kml</t>
  </si>
  <si>
    <t>1778142416732.kml</t>
  </si>
  <si>
    <t>Abi Kumar</t>
  </si>
  <si>
    <t>1778223808102.kml</t>
  </si>
  <si>
    <t>1778155571631.kml</t>
  </si>
  <si>
    <t>1778222070861.kml</t>
  </si>
  <si>
    <t>1778224505891.kml</t>
  </si>
  <si>
    <t>1778226480600.kml</t>
  </si>
  <si>
    <t>Jalaya Bazar</t>
  </si>
  <si>
    <t>Salka</t>
  </si>
  <si>
    <t>1778225595401.kml</t>
  </si>
  <si>
    <t>Pouramura</t>
  </si>
  <si>
    <t>1778065031287.kml</t>
  </si>
  <si>
    <t>1778477955075.kml</t>
  </si>
  <si>
    <t>1778485087097.kml</t>
  </si>
  <si>
    <t>1778485253854.kmz</t>
  </si>
  <si>
    <t>1778485463781.kml</t>
  </si>
  <si>
    <t>Sub-total of AR Bamboo (District AR total)</t>
  </si>
  <si>
    <t>District AR &amp; ANR total</t>
  </si>
  <si>
    <t>South</t>
  </si>
  <si>
    <t>Bagafa</t>
  </si>
  <si>
    <t>Kakulia</t>
  </si>
  <si>
    <t>S K Bari</t>
  </si>
  <si>
    <t>Muhuripur</t>
  </si>
  <si>
    <t>Laxmicherra</t>
  </si>
  <si>
    <t>Hrishyamukh</t>
  </si>
  <si>
    <t>Nalua</t>
  </si>
  <si>
    <t>Haptabari</t>
  </si>
  <si>
    <t>1778063866681.kml</t>
  </si>
  <si>
    <t>Malambari</t>
  </si>
  <si>
    <t>Sundarban</t>
  </si>
  <si>
    <t>1778068076210.kml</t>
  </si>
  <si>
    <t>Maa Durga</t>
  </si>
  <si>
    <t>1778147855883.kml</t>
  </si>
  <si>
    <t>Matai</t>
  </si>
  <si>
    <t>Shibpur</t>
  </si>
  <si>
    <t>1778070311805.kml</t>
  </si>
  <si>
    <t>Sabroom</t>
  </si>
  <si>
    <t>Satchand</t>
  </si>
  <si>
    <t>Bhuratali</t>
  </si>
  <si>
    <t>Manubazar</t>
  </si>
  <si>
    <t>Betaga</t>
  </si>
  <si>
    <t>Srinagar</t>
  </si>
  <si>
    <t>Amlighat</t>
  </si>
  <si>
    <t>Bankul</t>
  </si>
  <si>
    <t>Baishnabpur</t>
  </si>
  <si>
    <t>Sub-total of AR Bamboo</t>
  </si>
  <si>
    <t>Neshaka</t>
  </si>
  <si>
    <t>1778066426718.kml</t>
  </si>
  <si>
    <t>Shisaka</t>
  </si>
  <si>
    <t>1778066273143.kml</t>
  </si>
  <si>
    <t>Lambachara</t>
  </si>
  <si>
    <t>1778065743543.kml</t>
  </si>
  <si>
    <t>Sataray</t>
  </si>
  <si>
    <t>Tuiroma</t>
  </si>
  <si>
    <t>1778071302587.kml</t>
  </si>
  <si>
    <t>Lankajoy</t>
  </si>
  <si>
    <t>1778578381936.kml</t>
  </si>
  <si>
    <t>Dhananjoynagar</t>
  </si>
  <si>
    <t>1778067986407.kml</t>
  </si>
  <si>
    <t>1778070387536.kml</t>
  </si>
  <si>
    <t>Pusparam Roaja Para</t>
  </si>
  <si>
    <t>Sankartilla</t>
  </si>
  <si>
    <t>Kaladheepa</t>
  </si>
  <si>
    <t>1778065978235.kml</t>
  </si>
  <si>
    <t>Shyampara</t>
  </si>
  <si>
    <t>1778066871689.kml</t>
  </si>
  <si>
    <t>Tuimong Para</t>
  </si>
  <si>
    <t>1778068316725.kml</t>
  </si>
  <si>
    <t>Ratanmoni</t>
  </si>
  <si>
    <t>1778068991712.kml</t>
  </si>
  <si>
    <t>Mondali Para</t>
  </si>
  <si>
    <t>1778070483437.kml</t>
  </si>
  <si>
    <t>1778069832165.kml</t>
  </si>
  <si>
    <t>Surjyamukhi</t>
  </si>
  <si>
    <t>1778072838213.kml</t>
  </si>
  <si>
    <t>Bolongtamsha</t>
  </si>
  <si>
    <t>1778073102374.kml</t>
  </si>
  <si>
    <t>Same locations</t>
  </si>
  <si>
    <t>Chittabari</t>
  </si>
  <si>
    <t>1778073539915.kml</t>
  </si>
  <si>
    <t>Uploaded in KOBO but not sanctioned</t>
  </si>
  <si>
    <t>Bagmara</t>
  </si>
  <si>
    <t>1778069246739.kml</t>
  </si>
  <si>
    <t>Kumaru Maduti Rupasree</t>
  </si>
  <si>
    <t>1778069139438.kml</t>
  </si>
  <si>
    <t>Purba Sabroom</t>
  </si>
  <si>
    <t>1778069620654.kml</t>
  </si>
  <si>
    <t>Magroom</t>
  </si>
  <si>
    <t>Hadukpara</t>
  </si>
  <si>
    <t xml:space="preserve"> </t>
  </si>
  <si>
    <t>Sub-total of ANR Bamboo</t>
  </si>
  <si>
    <t>West</t>
  </si>
  <si>
    <t>Mandai</t>
  </si>
  <si>
    <t>Raktiachara</t>
  </si>
  <si>
    <t>Brugudasbari</t>
  </si>
  <si>
    <t>Pre-Survey Map of ANR Bamboo plantation over 23.0  ha at Brigudas JFMC of  Raktiacherra  Beat under Mandwi Range during the financial Year 2026-27.-15_20_53.kml</t>
  </si>
  <si>
    <t>Champaknagar</t>
  </si>
  <si>
    <t>Tulakona</t>
  </si>
  <si>
    <t>Nagichara &amp; Marak para</t>
  </si>
  <si>
    <t>Pre-Survey Map of ANR Bamboo plantation (P-I) (ELEMENT Project) over 5.0 ha at  Tulakona Beat under Champakpaknagar Range during the financial Year 2026-27.-15_31_49.kml</t>
  </si>
  <si>
    <t>SCATFORM(Older plantation)
Overlapping- 5% apprx</t>
  </si>
  <si>
    <t>Dhupchara</t>
  </si>
  <si>
    <t>Pre-Survey Map of ANR Bamboo plantation (P-II) (ELEMENT Project) over 5.0 ha at  Tulakona Beat under Champakpaknagar Range during the financial Year 2026-27.-15_34_5.kml</t>
  </si>
  <si>
    <t>Belbari</t>
  </si>
  <si>
    <t>Dhuptila Twisa</t>
  </si>
  <si>
    <t>Pre-Survey Map of ANR Bamboo plantation (ELEMENT Project) over 5.0 ha at  Belbari Beat under Champakpaknagar Range during the financial Year 2026-27.-11_21_49.kml</t>
  </si>
  <si>
    <t>Sadar</t>
  </si>
  <si>
    <t>Subalsing</t>
  </si>
  <si>
    <t>Rairwngbari</t>
  </si>
  <si>
    <t>Error in KML</t>
  </si>
  <si>
    <t>Simna</t>
  </si>
  <si>
    <t>Laltilla</t>
  </si>
  <si>
    <t>Madhabbari</t>
  </si>
  <si>
    <t>Cha-sukang</t>
  </si>
  <si>
    <t>Pre-Survey Map of AR Bamboo plantation (ELEMENT Project) over 10.0 ha at  Madhabbari Beat under Mandwi Range during the financial Year 2026-27. -11_8_44.kml</t>
  </si>
  <si>
    <t>Khengrai</t>
  </si>
  <si>
    <t>Abhicharan Para</t>
  </si>
  <si>
    <t>Pre-Survey Map of AR Bamboo plantation over 10.0ha at Abhicharan JFMC of  Khengrai Beat under Mandwi Range during the financial Year 2026-27. a-11_4_54.kml</t>
  </si>
  <si>
    <t>Pre-Survey Map of AR Bamboo plantation (ELEMENT Project) over 5.0 ha at  Tulakona Beat under Champakpaknagar Range during the financial Year 2026-27.-15_29_19.kml</t>
  </si>
  <si>
    <t>Dhalai</t>
  </si>
  <si>
    <t>Gumati FDA</t>
  </si>
  <si>
    <t>Gandacherra</t>
  </si>
  <si>
    <t>Rohida Para EDC</t>
  </si>
  <si>
    <t>1778577130731.kml</t>
  </si>
  <si>
    <t>Pakhir Para EDC</t>
  </si>
  <si>
    <t>1778671757551.kml</t>
  </si>
  <si>
    <t>Hatimata</t>
  </si>
  <si>
    <t>Rajdhan Para</t>
  </si>
  <si>
    <t>1778579146617.kml</t>
  </si>
  <si>
    <t>Dhalajhari</t>
  </si>
  <si>
    <t>Amulyadhan Para EDC</t>
  </si>
  <si>
    <t>1778580159755.kml</t>
  </si>
  <si>
    <t>Prakash Joy Para</t>
  </si>
  <si>
    <t>1778580282746.kml</t>
  </si>
  <si>
    <t>Barabari</t>
  </si>
  <si>
    <t xml:space="preserve">New Barabari </t>
  </si>
  <si>
    <t>1778579767028.kml</t>
  </si>
  <si>
    <t>Old Barabari</t>
  </si>
  <si>
    <t>1778579454386.kml</t>
  </si>
  <si>
    <t>Ganganagar</t>
  </si>
  <si>
    <t>Karnamanipara</t>
  </si>
  <si>
    <t>Chakmapara</t>
  </si>
  <si>
    <t>Champarai Para</t>
  </si>
  <si>
    <t>1778558866427.kml</t>
  </si>
  <si>
    <t>1778558787847.kml</t>
  </si>
  <si>
    <t>Jatindra Para</t>
  </si>
  <si>
    <t>1778558990757.kml</t>
  </si>
  <si>
    <t>Raishyabari</t>
  </si>
  <si>
    <t>Twichakma</t>
  </si>
  <si>
    <t>Thakurcherra</t>
  </si>
  <si>
    <t>1778672002252.kml</t>
  </si>
  <si>
    <t>Manu FDA</t>
  </si>
  <si>
    <t>Manu</t>
  </si>
  <si>
    <t>Dhumacherra</t>
  </si>
  <si>
    <t>Hapungpara raja</t>
  </si>
  <si>
    <t>1778561565380.kmz</t>
  </si>
  <si>
    <t>Deo-RF</t>
  </si>
  <si>
    <t>Twikwchang</t>
  </si>
  <si>
    <t>1778486473005.kml</t>
  </si>
  <si>
    <t>Chailengta</t>
  </si>
  <si>
    <t>Lalcherra</t>
  </si>
  <si>
    <t>Dalucherra</t>
  </si>
  <si>
    <t>Sukhtara</t>
  </si>
  <si>
    <t>1778166156302.kml</t>
  </si>
  <si>
    <t>Uttam</t>
  </si>
  <si>
    <t>Dalucherra 5 HA AR BAMBOO UTTAM JFMC UNDER ELEMENT PRJECT-19_20_23.kml</t>
  </si>
  <si>
    <t>Labancherra</t>
  </si>
  <si>
    <t>Thoucha</t>
  </si>
  <si>
    <t>1778166598550.kml</t>
  </si>
  <si>
    <t>Bijoy Master Para</t>
  </si>
  <si>
    <t>1778166863366.kml</t>
  </si>
  <si>
    <t>Chawmanu</t>
  </si>
  <si>
    <t>Jana Shakti JFMC</t>
  </si>
  <si>
    <t>1778219545940.kml</t>
  </si>
  <si>
    <t>Chandali Roaja Para</t>
  </si>
  <si>
    <t>1778168303117.kml</t>
  </si>
  <si>
    <t>Garia JFMC</t>
  </si>
  <si>
    <t>1778168528652.kml</t>
  </si>
  <si>
    <t>Khongthaiya Bodal JFMC</t>
  </si>
  <si>
    <t>1778168638231.kml</t>
  </si>
  <si>
    <t>Ambassa FDA</t>
  </si>
  <si>
    <t>Durga Chowmuni</t>
  </si>
  <si>
    <t>Srirampur</t>
  </si>
  <si>
    <t>West Lambucherra</t>
  </si>
  <si>
    <t>AR BAmboo plant. over 1.0 ha at West Lambucherra under Srirampur Beat during 2026-27-19_26_43.kml</t>
  </si>
  <si>
    <t>Ambassa</t>
  </si>
  <si>
    <t>Harinchherra</t>
  </si>
  <si>
    <t>Sephali</t>
  </si>
  <si>
    <t>Track_AR BEMBOO Plant. over 10.0 ha at Sephali JFMC under Harincherra Beat-14_34_53.kml</t>
  </si>
  <si>
    <t>Kulai</t>
  </si>
  <si>
    <t>Ghantacherra</t>
  </si>
  <si>
    <t>AR Bamboo Plant. over 5.0 ha at Ghantacherra JFMC under Kulai Beat-14_14_41.kml</t>
  </si>
  <si>
    <t>Jeolcherra</t>
  </si>
  <si>
    <t>Nasuk</t>
  </si>
  <si>
    <t>AR Bamboo Plant. over 5.0 ha at Naisuk JFMC under Jeolcherra Beat during 2026-27-19_36_8.kml</t>
  </si>
  <si>
    <t>Salema</t>
  </si>
  <si>
    <t>Kachucherra</t>
  </si>
  <si>
    <t>Unag Bazar</t>
  </si>
  <si>
    <t>AR Bamboo plant. over 5.0 ha at Kachucherra Beat Part - II-18_49_57.kml</t>
  </si>
  <si>
    <t>1778577059897.kml</t>
  </si>
  <si>
    <t>1778671638271.kml</t>
  </si>
  <si>
    <t>Wansa Para</t>
  </si>
  <si>
    <t>1778577619468.kml</t>
  </si>
  <si>
    <t>Prakash Joy Para EDC</t>
  </si>
  <si>
    <t>1778580012708.kml</t>
  </si>
  <si>
    <t>1778579250181.kml</t>
  </si>
  <si>
    <t>1778579359713.kml</t>
  </si>
  <si>
    <t>Bharat Chandra Para</t>
  </si>
  <si>
    <t>1778493693702.kml</t>
  </si>
  <si>
    <t>Tirtha ram Para</t>
  </si>
  <si>
    <t>1778493899358.kml</t>
  </si>
  <si>
    <t>1778558422260.kml</t>
  </si>
  <si>
    <t>1778558600896.kml</t>
  </si>
  <si>
    <t>Madhya Chailengta</t>
  </si>
  <si>
    <t>Adam Unnayan</t>
  </si>
  <si>
    <t>1778487045242.kml</t>
  </si>
  <si>
    <t>Siddiram Para</t>
  </si>
  <si>
    <t>1778166385484.kml</t>
  </si>
  <si>
    <t>1778166221478.kml</t>
  </si>
  <si>
    <t>1778167384307.kml</t>
  </si>
  <si>
    <t>Purna Karbari Para</t>
  </si>
  <si>
    <t>1778167570897.kml</t>
  </si>
  <si>
    <t>Milan Sobha JFMC</t>
  </si>
  <si>
    <t>1778479497014.kml</t>
  </si>
  <si>
    <t>1778219601082.kml</t>
  </si>
  <si>
    <t>1778168366086.kml</t>
  </si>
  <si>
    <t>Thansa Bodol JFMC</t>
  </si>
  <si>
    <t>1778168472318.kml</t>
  </si>
  <si>
    <t>1778168573349.kml</t>
  </si>
  <si>
    <t>1778168704277.kml</t>
  </si>
  <si>
    <t>Durgachowmuhani</t>
  </si>
  <si>
    <t>1.0 ha ANR Bamboo-19_25_13.kml</t>
  </si>
  <si>
    <t>Kamalpur</t>
  </si>
  <si>
    <t>Mayachari</t>
  </si>
  <si>
    <t>ANR Bamboo plant. over 1.0 ha at Mayachari JFMC under Ksmalpur Beat during 2026-27-19_43_21.kml</t>
  </si>
  <si>
    <t>Hamakrai</t>
  </si>
  <si>
    <t>ANR Bamboo Plant. over 10.0 ha under ELEMENT Project under Harincherra Beat1-19_28_47.kml</t>
  </si>
  <si>
    <t>Delwai</t>
  </si>
  <si>
    <t>ANR BAMBOO plant. over 10.0 ha at Delwai jfmc under Harincherra Beat.gpx 2-19_24_41.kml</t>
  </si>
  <si>
    <t>Duigangpara</t>
  </si>
  <si>
    <t>ANR Bamboo Plant. over 5.0 ha at Kachucherra of Kachucherra Beat during 2026-27-19_35_2.kml</t>
  </si>
  <si>
    <t>Mendi</t>
  </si>
  <si>
    <t>-</t>
  </si>
  <si>
    <t>Kobaksa</t>
  </si>
  <si>
    <t>ANR Bamboo plant. over 5.0 ha at Ashapurna of Mendi beat under ELEMENT PROJECT-19_31_53.kml</t>
  </si>
  <si>
    <t>District AR &amp; ANR Total</t>
  </si>
  <si>
    <t>Khowai</t>
  </si>
  <si>
    <t>Teliamura</t>
  </si>
  <si>
    <t>Khasiamangal</t>
  </si>
  <si>
    <t>Tuichar</t>
  </si>
  <si>
    <t>1778487688836.kml</t>
  </si>
  <si>
    <t>Mungiakami</t>
  </si>
  <si>
    <t>Atharamura</t>
  </si>
  <si>
    <t>Kalaipara</t>
  </si>
  <si>
    <t>1778171161112.kml</t>
  </si>
  <si>
    <t>Tulashikhar</t>
  </si>
  <si>
    <t>Gopalnagar</t>
  </si>
  <si>
    <t>Sukhiya Bari JFMC</t>
  </si>
  <si>
    <t>1778489020861.kml</t>
  </si>
  <si>
    <t>Padmabil</t>
  </si>
  <si>
    <t>Paglabari</t>
  </si>
  <si>
    <t>Langma</t>
  </si>
  <si>
    <t>1778157725002.kml</t>
  </si>
  <si>
    <t>Sardukarkari</t>
  </si>
  <si>
    <t>1778482962491.kml</t>
  </si>
  <si>
    <t>Kalyanpur</t>
  </si>
  <si>
    <t>Ghilatali</t>
  </si>
  <si>
    <t>Dhukhiapara</t>
  </si>
  <si>
    <t>Nishan Sardar</t>
  </si>
  <si>
    <t>177815522a4230.kmz</t>
  </si>
  <si>
    <t>1778489125838.kmz</t>
  </si>
  <si>
    <t>1778155992384.akmz</t>
  </si>
  <si>
    <t>1778489350347.kmz</t>
  </si>
  <si>
    <t>1778489532438.kmz</t>
  </si>
  <si>
    <t>Lamkwtal</t>
  </si>
  <si>
    <t>1778489825283.kmz</t>
  </si>
  <si>
    <t>1778489982090.kmz</t>
  </si>
  <si>
    <t>1778490148855.kmz</t>
  </si>
  <si>
    <t>1778490358003.kmz</t>
  </si>
  <si>
    <t>1778490563913.kmz</t>
  </si>
  <si>
    <t>R. C. Ghat</t>
  </si>
  <si>
    <t>Akhatabari</t>
  </si>
  <si>
    <t>1778561245957.kml</t>
  </si>
  <si>
    <t>1778561629961.kml</t>
  </si>
  <si>
    <t>Jalaitwisa</t>
  </si>
  <si>
    <t>1778561852725.kml</t>
  </si>
  <si>
    <t>South RC ghat 2</t>
  </si>
  <si>
    <t>1778562505097.kml</t>
  </si>
  <si>
    <t>1778562895744.kml</t>
  </si>
  <si>
    <t>South RC ghat 1</t>
  </si>
  <si>
    <t>1778563095483.kml</t>
  </si>
  <si>
    <t>1778562745435.kml</t>
  </si>
  <si>
    <t>Belchara</t>
  </si>
  <si>
    <t>Paschim Belchara</t>
  </si>
  <si>
    <t>1778488604103.kml</t>
  </si>
  <si>
    <t>Ratanpur</t>
  </si>
  <si>
    <t>1778488459356.kml</t>
  </si>
  <si>
    <t>Unakoti</t>
  </si>
  <si>
    <t>Kailasahar</t>
  </si>
  <si>
    <t>Chandipur</t>
  </si>
  <si>
    <t>Dhanbilash</t>
  </si>
  <si>
    <t>Pattaline</t>
  </si>
  <si>
    <t>1778490065323.kml</t>
  </si>
  <si>
    <t>Gournagar</t>
  </si>
  <si>
    <t>Chinibagan</t>
  </si>
  <si>
    <t>1778488582064.kml</t>
  </si>
  <si>
    <t>Kumarghat</t>
  </si>
  <si>
    <t>Pecharthal</t>
  </si>
  <si>
    <t>Pecharthal proper</t>
  </si>
  <si>
    <t>Santipur</t>
  </si>
  <si>
    <t>1778166124598.kml</t>
  </si>
  <si>
    <t>Andercherra</t>
  </si>
  <si>
    <t>Khashrai</t>
  </si>
  <si>
    <t>1778165830119.kml</t>
  </si>
  <si>
    <t>Machmara</t>
  </si>
  <si>
    <t>Balanancherra</t>
  </si>
  <si>
    <t>Pusharai Para</t>
  </si>
  <si>
    <t>1778166697028.kml</t>
  </si>
  <si>
    <t>Krishnatilla</t>
  </si>
  <si>
    <t>Paschim Ramdula Para</t>
  </si>
  <si>
    <t>1778166881456.kml</t>
  </si>
  <si>
    <t>1778489871583.kml</t>
  </si>
  <si>
    <t>Atharamuri</t>
  </si>
  <si>
    <t>Green Valley</t>
  </si>
  <si>
    <t>1778252239231.kmz</t>
  </si>
  <si>
    <t>Pongcherra</t>
  </si>
  <si>
    <t>1778252447232.kmz</t>
  </si>
  <si>
    <t>Betcherra</t>
  </si>
  <si>
    <t>East Raitwisa</t>
  </si>
  <si>
    <t>1778164929821.kml</t>
  </si>
  <si>
    <t>1778164739562.kml</t>
  </si>
  <si>
    <t>Dudhpur</t>
  </si>
  <si>
    <t>Sabuj Sathi</t>
  </si>
  <si>
    <t>1778163741900.kml</t>
  </si>
  <si>
    <t>Ugalcherra</t>
  </si>
  <si>
    <t>1778166203465.kml</t>
  </si>
  <si>
    <t>Khashrai Para</t>
  </si>
  <si>
    <t>1778165939578.kml</t>
  </si>
  <si>
    <t>Saryow Hadou Para</t>
  </si>
  <si>
    <t>1778166035772.kml</t>
  </si>
  <si>
    <t>1778166784465.kml</t>
  </si>
  <si>
    <t>1778166958901.kml</t>
  </si>
  <si>
    <t>Biswas Para</t>
  </si>
  <si>
    <t>1778167033190.kml</t>
  </si>
  <si>
    <t>Sepahijala</t>
  </si>
  <si>
    <t>Sonamura</t>
  </si>
  <si>
    <t>Melaghar</t>
  </si>
  <si>
    <t>Bairagibazar</t>
  </si>
  <si>
    <t>Total plantation : 1788.5 ha.</t>
  </si>
  <si>
    <t>Total AR Bamboo : 413 ha</t>
  </si>
  <si>
    <t>AR Misc. : 3 ha</t>
  </si>
  <si>
    <t>ANR Misc : 15 ha</t>
  </si>
  <si>
    <t>Total ANR Bamboo : 1357.5</t>
  </si>
  <si>
    <t>1778170974074.kml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</si>
</sst>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rgb="FF0000FF"/>
      <name val="Calibri"/>
      <family val="2"/>
    </font>
    <font>
      <b/>
      <sz val="11"/>
      <color theme="5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vertical="top" wrapText="1"/>
    </xf>
    <xf numFmtId="0" fontId="3" fillId="5" borderId="6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vertical="top" wrapText="1"/>
    </xf>
    <xf numFmtId="0" fontId="5" fillId="0" borderId="7" xfId="0" applyFont="1" applyBorder="1" applyAlignment="1">
      <alignment horizontal="center" vertical="top" wrapText="1"/>
    </xf>
    <xf numFmtId="0" fontId="2" fillId="5" borderId="7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top" wrapText="1"/>
    </xf>
    <xf numFmtId="0" fontId="9" fillId="0" borderId="1" xfId="1" applyFont="1" applyFill="1" applyBorder="1" applyAlignment="1" applyProtection="1"/>
    <xf numFmtId="0" fontId="0" fillId="0" borderId="1" xfId="0" applyBorder="1"/>
    <xf numFmtId="0" fontId="9" fillId="11" borderId="1" xfId="1" applyFont="1" applyFill="1" applyBorder="1" applyAlignment="1" applyProtection="1"/>
    <xf numFmtId="0" fontId="8" fillId="0" borderId="1" xfId="1" applyBorder="1"/>
    <xf numFmtId="0" fontId="9" fillId="0" borderId="1" xfId="1" applyFont="1" applyFill="1" applyBorder="1" applyAlignment="1" applyProtection="1">
      <alignment vertical="center"/>
    </xf>
    <xf numFmtId="0" fontId="4" fillId="10" borderId="1" xfId="0" applyFont="1" applyFill="1" applyBorder="1" applyAlignment="1">
      <alignment horizontal="center" vertical="top" wrapText="1"/>
    </xf>
    <xf numFmtId="0" fontId="9" fillId="0" borderId="1" xfId="1" applyFont="1" applyFill="1" applyBorder="1" applyAlignment="1" applyProtection="1">
      <alignment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1" applyFont="1" applyFill="1" applyBorder="1" applyAlignment="1" applyProtection="1">
      <alignment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9" fillId="0" borderId="1" xfId="1" applyFont="1" applyFill="1" applyBorder="1" applyAlignment="1" applyProtection="1">
      <alignment horizontal="left"/>
    </xf>
    <xf numFmtId="0" fontId="2" fillId="0" borderId="0" xfId="0" applyFont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8" fillId="0" borderId="1" xfId="1" applyBorder="1" applyAlignment="1">
      <alignment wrapText="1"/>
    </xf>
    <xf numFmtId="0" fontId="9" fillId="0" borderId="1" xfId="1" applyFont="1" applyFill="1" applyBorder="1" applyAlignment="1" applyProtection="1">
      <alignment horizontal="left" wrapText="1"/>
    </xf>
    <xf numFmtId="0" fontId="7" fillId="7" borderId="1" xfId="0" applyFont="1" applyFill="1" applyBorder="1" applyAlignment="1">
      <alignment horizontal="center"/>
    </xf>
    <xf numFmtId="0" fontId="9" fillId="12" borderId="1" xfId="1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10" borderId="1" xfId="0" applyFont="1" applyFill="1" applyBorder="1" applyAlignment="1">
      <alignment horizontal="center" vertical="top" wrapText="1"/>
    </xf>
    <xf numFmtId="0" fontId="0" fillId="10" borderId="1" xfId="0" applyFill="1" applyBorder="1"/>
    <xf numFmtId="0" fontId="2" fillId="10" borderId="4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/>
    </xf>
    <xf numFmtId="0" fontId="2" fillId="10" borderId="3" xfId="0" applyFont="1" applyFill="1" applyBorder="1" applyAlignment="1">
      <alignment horizontal="center" vertical="top" wrapText="1"/>
    </xf>
    <xf numFmtId="0" fontId="4" fillId="10" borderId="4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11" fillId="7" borderId="1" xfId="1" applyFont="1" applyFill="1" applyBorder="1"/>
    <xf numFmtId="0" fontId="0" fillId="6" borderId="1" xfId="0" applyFill="1" applyBorder="1"/>
    <xf numFmtId="0" fontId="5" fillId="2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center" vertical="top"/>
    </xf>
    <xf numFmtId="0" fontId="10" fillId="13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3" fillId="9" borderId="5" xfId="0" applyFont="1" applyFill="1" applyBorder="1" applyAlignment="1">
      <alignment horizontal="center" vertical="top" wrapText="1"/>
    </xf>
    <xf numFmtId="0" fontId="3" fillId="9" borderId="6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6" borderId="1" xfId="1" applyFont="1" applyFill="1" applyBorder="1" applyAlignment="1" applyProtection="1">
      <alignment horizontal="left" wrapText="1"/>
    </xf>
    <xf numFmtId="0" fontId="0" fillId="6" borderId="0" xfId="0" applyFill="1"/>
    <xf numFmtId="0" fontId="0" fillId="5" borderId="1" xfId="0" applyFill="1" applyBorder="1"/>
    <xf numFmtId="0" fontId="8" fillId="0" borderId="1" xfId="1" applyBorder="1" applyAlignment="1" applyProtection="1"/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D9D9D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0kDcvOIR79fmZQoG3Lh6HaKvIS5DO10C/view?usp=drive_link" TargetMode="External"/><Relationship Id="rId21" Type="http://schemas.openxmlformats.org/officeDocument/2006/relationships/hyperlink" Target="https://drive.google.com/file/d/17A8NnCZEiKmmgG5NLiwX8L4Ku3bhkcev/view?usp=drive_link" TargetMode="External"/><Relationship Id="rId42" Type="http://schemas.openxmlformats.org/officeDocument/2006/relationships/hyperlink" Target="https://drive.google.com/file/d/1QDg7IeNWl9Kcw0-6NVhylRLpoDL6nq5u/view?usp=drive_link" TargetMode="External"/><Relationship Id="rId63" Type="http://schemas.openxmlformats.org/officeDocument/2006/relationships/hyperlink" Target="https://drive.google.com/file/d/1EMFtW7TY-g2AMOrmmd8IA4opah6npvs_/view?usp=drive_link" TargetMode="External"/><Relationship Id="rId84" Type="http://schemas.openxmlformats.org/officeDocument/2006/relationships/hyperlink" Target="https://drive.google.com/file/d/1XcbRxz97bGb5nP9pbP_JNKsHGt2ucJkb/view?usp=drive_link" TargetMode="External"/><Relationship Id="rId138" Type="http://schemas.openxmlformats.org/officeDocument/2006/relationships/hyperlink" Target="https://drive.google.com/file/d/1D35eARvoikguSmw0U7-klALdJcA0siMk/view?usp=drive_link" TargetMode="External"/><Relationship Id="rId159" Type="http://schemas.openxmlformats.org/officeDocument/2006/relationships/hyperlink" Target="https://drive.google.com/file/d/1ERBt34bxBgkQF-XEHbrZ28wLPik1OOJI/view?usp=drive_link" TargetMode="External"/><Relationship Id="rId170" Type="http://schemas.openxmlformats.org/officeDocument/2006/relationships/hyperlink" Target="https://drive.google.com/file/d/1LNr29uX3jcaeuR80bicBWYFREfNtyKpD/view?usp=drive_link" TargetMode="External"/><Relationship Id="rId191" Type="http://schemas.openxmlformats.org/officeDocument/2006/relationships/hyperlink" Target="https://drive.google.com/file/d/1gHgjXaIgsJXJaKkf9BaKv1ODYbjIZg5K/view?usp=drive_link" TargetMode="External"/><Relationship Id="rId205" Type="http://schemas.openxmlformats.org/officeDocument/2006/relationships/hyperlink" Target="https://drive.google.com/file/d/1fYDk_GgdXD4QDbwKgjsMC5TzqAN0UUB1/view?usp=drive_link" TargetMode="External"/><Relationship Id="rId107" Type="http://schemas.openxmlformats.org/officeDocument/2006/relationships/hyperlink" Target="https://drive.google.com/file/d/1o59RqbvM70tt87TrfaFVZYW8SibtjS19/view?usp=drive_link" TargetMode="External"/><Relationship Id="rId11" Type="http://schemas.openxmlformats.org/officeDocument/2006/relationships/hyperlink" Target="https://drive.google.com/file/d/1Gw1Y5t1w6yUHxsymfsfcCoh9YCnldyQY/view?usp=drive_link" TargetMode="External"/><Relationship Id="rId32" Type="http://schemas.openxmlformats.org/officeDocument/2006/relationships/hyperlink" Target="https://drive.google.com/file/d/1Wds0-6YowEqCk6nZfg_3W9_oh7TDm3HN/view?usp=drive_link" TargetMode="External"/><Relationship Id="rId53" Type="http://schemas.openxmlformats.org/officeDocument/2006/relationships/hyperlink" Target="https://drive.google.com/file/d/1ePs0xEnEr1Bssj1ClkBGTJAHcZXlFKeQ/view?usp=drive_link" TargetMode="External"/><Relationship Id="rId74" Type="http://schemas.openxmlformats.org/officeDocument/2006/relationships/hyperlink" Target="https://drive.google.com/file/d/1OgeuOFFUNCinDQFAUuRiIEiw7Eh3Vpsy/view?usp=drive_link" TargetMode="External"/><Relationship Id="rId128" Type="http://schemas.openxmlformats.org/officeDocument/2006/relationships/hyperlink" Target="https://drive.google.com/file/d/1SgdJSi4_o01Jmb252JtaFqHR1SkZvLTx/view?usp=drive_link" TargetMode="External"/><Relationship Id="rId149" Type="http://schemas.openxmlformats.org/officeDocument/2006/relationships/hyperlink" Target="https://drive.google.com/file/d/1lGL46er8tW2nICyWFe5X5Q2Df_gdtgfD/view?usp=drive_link" TargetMode="External"/><Relationship Id="rId5" Type="http://schemas.openxmlformats.org/officeDocument/2006/relationships/hyperlink" Target="https://drive.google.com/file/d/1M4FkW57S6swishdOaAKX65MwTa1FHvuJ/view?usp=drive_link" TargetMode="External"/><Relationship Id="rId95" Type="http://schemas.openxmlformats.org/officeDocument/2006/relationships/hyperlink" Target="https://drive.google.com/file/d/15L1nEW84p_Jv3EFfEyCC-YxVyFDKVKg8/view?usp=drive_link" TargetMode="External"/><Relationship Id="rId160" Type="http://schemas.openxmlformats.org/officeDocument/2006/relationships/hyperlink" Target="https://drive.google.com/file/d/1PAr2CX5oLGAIxtKXkgV2GBVkLi23rn-u/view?usp=drive_link" TargetMode="External"/><Relationship Id="rId181" Type="http://schemas.openxmlformats.org/officeDocument/2006/relationships/hyperlink" Target="https://drive.google.com/file/d/1Na1qze3gJm_lDeW5_8ty9eR0cyIM-DnA/view?usp=drive_link" TargetMode="External"/><Relationship Id="rId216" Type="http://schemas.openxmlformats.org/officeDocument/2006/relationships/hyperlink" Target="https://drive.google.com/file/d/1_8LQl_sWYKK2EGsA0tJvyB6espWPwXOA/view?usp=drive_link" TargetMode="External"/><Relationship Id="rId22" Type="http://schemas.openxmlformats.org/officeDocument/2006/relationships/hyperlink" Target="https://drive.google.com/file/d/1_Ch2YM396KlBckmxu0tbLFNU9KGswegI/view?usp=drive_link" TargetMode="External"/><Relationship Id="rId43" Type="http://schemas.openxmlformats.org/officeDocument/2006/relationships/hyperlink" Target="https://drive.google.com/file/d/1MNoAtFGu8DgvK5ghLfwLLVI4VxeLA43J/view?usp=drive_link" TargetMode="External"/><Relationship Id="rId64" Type="http://schemas.openxmlformats.org/officeDocument/2006/relationships/hyperlink" Target="https://drive.google.com/file/d/1ouGbePQ61bwNKDWB94y0EXHblz2YUUDu/view?usp=drive_link" TargetMode="External"/><Relationship Id="rId118" Type="http://schemas.openxmlformats.org/officeDocument/2006/relationships/hyperlink" Target="https://drive.google.com/file/d/16b0cdditNoID9XkUK8VSZu5jImkG-esu/view?usp=drive_link" TargetMode="External"/><Relationship Id="rId139" Type="http://schemas.openxmlformats.org/officeDocument/2006/relationships/hyperlink" Target="https://drive.google.com/file/d/1SzUpl2ED9NYT9VIobqs6so79YiCMTTX8/view?usp=drive_link" TargetMode="External"/><Relationship Id="rId85" Type="http://schemas.openxmlformats.org/officeDocument/2006/relationships/hyperlink" Target="https://drive.google.com/file/d/17HPaHzW0wAfBgeXWjSrJNxSw6xWA90HO/view?usp=drive_link" TargetMode="External"/><Relationship Id="rId150" Type="http://schemas.openxmlformats.org/officeDocument/2006/relationships/hyperlink" Target="https://drive.google.com/file/d/1bFArn9KOqctBvtn2Y7L7A1eJz9NmfhAA/view?usp=drive_link" TargetMode="External"/><Relationship Id="rId171" Type="http://schemas.openxmlformats.org/officeDocument/2006/relationships/hyperlink" Target="https://drive.google.com/file/d/1q5flmBpqVrSigm4pVohNQF8haoC1kS-e/view?usp=drive_link" TargetMode="External"/><Relationship Id="rId192" Type="http://schemas.openxmlformats.org/officeDocument/2006/relationships/hyperlink" Target="https://drive.google.com/file/d/11YfVtVMmyylyo2cmS2GxCXgqDOUw23fn/view?usp=drive_link" TargetMode="External"/><Relationship Id="rId206" Type="http://schemas.openxmlformats.org/officeDocument/2006/relationships/hyperlink" Target="https://drive.google.com/file/d/1yCHNu1J0EshEamNPe3ry5sXRP4wWj5dT/view?usp=drive_link" TargetMode="External"/><Relationship Id="rId12" Type="http://schemas.openxmlformats.org/officeDocument/2006/relationships/hyperlink" Target="https://drive.google.com/file/d/1RBynDNmSc4kNNlBChMB-jb5YbJgcdrGm/view?usp=drive_link" TargetMode="External"/><Relationship Id="rId33" Type="http://schemas.openxmlformats.org/officeDocument/2006/relationships/hyperlink" Target="https://drive.google.com/file/d/1qPs6Y_RzPMb7a0Zqt4zNs5NQbRiBBGmR/view?usp=drive_link" TargetMode="External"/><Relationship Id="rId108" Type="http://schemas.openxmlformats.org/officeDocument/2006/relationships/hyperlink" Target="https://drive.google.com/file/d/1MrIVqvL87tkPzPgBn8HLTje76pkdoNFf/view?usp=drive_link" TargetMode="External"/><Relationship Id="rId129" Type="http://schemas.openxmlformats.org/officeDocument/2006/relationships/hyperlink" Target="https://drive.google.com/file/d/1uuuS5Z7WPXsJlUaJQIqgtHiCRCHG-ZWf/view?usp=drive_link" TargetMode="External"/><Relationship Id="rId54" Type="http://schemas.openxmlformats.org/officeDocument/2006/relationships/hyperlink" Target="https://drive.google.com/file/d/1sdUpyEJVoLonDSzwknV1ENn1ztCudNEQ/view?usp=drive_link" TargetMode="External"/><Relationship Id="rId75" Type="http://schemas.openxmlformats.org/officeDocument/2006/relationships/hyperlink" Target="https://drive.google.com/file/d/1UoopN7Q_n4BD_Mv5TnqhAQ35HVNJGRaK/view?usp=drive_link" TargetMode="External"/><Relationship Id="rId96" Type="http://schemas.openxmlformats.org/officeDocument/2006/relationships/hyperlink" Target="https://drive.google.com/file/d/1ICFp9f9zW1LJTBvVNmAERzx3xz85Ucij/view?usp=drive_link" TargetMode="External"/><Relationship Id="rId140" Type="http://schemas.openxmlformats.org/officeDocument/2006/relationships/hyperlink" Target="https://drive.google.com/file/d/1gBflpYsBvcZ---Zlolnc3tJlopfd3E73/view?usp=drive_link" TargetMode="External"/><Relationship Id="rId161" Type="http://schemas.openxmlformats.org/officeDocument/2006/relationships/hyperlink" Target="https://drive.google.com/file/d/1hj8gCcUc8zhGk65kqz1sJdDe5W-_-Xzg/view?usp=drive_link" TargetMode="External"/><Relationship Id="rId182" Type="http://schemas.openxmlformats.org/officeDocument/2006/relationships/hyperlink" Target="https://drive.google.com/file/d/1Dz1zgAOP7bn3MLjm85J584HJc8mYtojx/view?usp=drive_link" TargetMode="External"/><Relationship Id="rId217" Type="http://schemas.openxmlformats.org/officeDocument/2006/relationships/hyperlink" Target="https://drive.google.com/file/d/1qsaKDpRe875Am1Apph5tQNKOG6KLZRZ4/view?usp=drive_link" TargetMode="External"/><Relationship Id="rId6" Type="http://schemas.openxmlformats.org/officeDocument/2006/relationships/hyperlink" Target="https://drive.google.com/file/d/1pc_F8NOd3r04OptmZl4qk5u5ZT3nM9vW/view?usp=drive_link" TargetMode="External"/><Relationship Id="rId23" Type="http://schemas.openxmlformats.org/officeDocument/2006/relationships/hyperlink" Target="https://drive.google.com/file/d/16ZGOZgnxCa5q4jbQPuk1rZ26CK0qxVv2/view?usp=drive_link" TargetMode="External"/><Relationship Id="rId119" Type="http://schemas.openxmlformats.org/officeDocument/2006/relationships/hyperlink" Target="https://drive.google.com/file/d/1h1l55b1zwPdACwxImHTCvKd8IklNS_ky/view?usp=drive_link" TargetMode="External"/><Relationship Id="rId44" Type="http://schemas.openxmlformats.org/officeDocument/2006/relationships/hyperlink" Target="https://drive.google.com/file/d/10lfWQzhJhS0IZ35liagyYkh0m0GAAQZS/view?usp=drive_link" TargetMode="External"/><Relationship Id="rId65" Type="http://schemas.openxmlformats.org/officeDocument/2006/relationships/hyperlink" Target="https://drive.google.com/file/d/1DVgiVmBBLy9-29N04hAqn2sGylRKboqn/view?usp=drive_link" TargetMode="External"/><Relationship Id="rId86" Type="http://schemas.openxmlformats.org/officeDocument/2006/relationships/hyperlink" Target="https://drive.google.com/file/d/15HrNHYW-ioptA01GBxxAhAuZg4YIz1Y6/view?usp=drive_link" TargetMode="External"/><Relationship Id="rId130" Type="http://schemas.openxmlformats.org/officeDocument/2006/relationships/hyperlink" Target="https://drive.google.com/file/d/1bA3jw55SyZMS2QDXCiQJ92Ub5qbd_UU8/view?usp=drive_link" TargetMode="External"/><Relationship Id="rId151" Type="http://schemas.openxmlformats.org/officeDocument/2006/relationships/hyperlink" Target="https://drive.google.com/file/d/1vt6lnLnsJxAreMpr8lDz9SOwF19ebLqP/view?usp=drive_link" TargetMode="External"/><Relationship Id="rId172" Type="http://schemas.openxmlformats.org/officeDocument/2006/relationships/hyperlink" Target="https://drive.google.com/file/d/1fk3Fo1UZ-jtOaEvL1EUCkaEIln0_kGKK/view?usp=drive_link" TargetMode="External"/><Relationship Id="rId193" Type="http://schemas.openxmlformats.org/officeDocument/2006/relationships/hyperlink" Target="https://drive.google.com/file/d/1Bxeeq6o5qL532jJ9N05NGhrlDnabejQb/view?usp=drive_link" TargetMode="External"/><Relationship Id="rId207" Type="http://schemas.openxmlformats.org/officeDocument/2006/relationships/hyperlink" Target="https://drive.google.com/file/d/1HIVfy57GMsdJWfYbRM97RGeEiI5Oxx1Z/view?usp=drive_link" TargetMode="External"/><Relationship Id="rId13" Type="http://schemas.openxmlformats.org/officeDocument/2006/relationships/hyperlink" Target="https://drive.google.com/file/d/1YTDD__bCuX6WAkOjSH9ihp-Whiik466N/view?usp=drive_link" TargetMode="External"/><Relationship Id="rId109" Type="http://schemas.openxmlformats.org/officeDocument/2006/relationships/hyperlink" Target="https://drive.google.com/file/d/1mhZMEWysvykkz_LqTvHbfLH4D-irLniS/view?usp=drive_link" TargetMode="External"/><Relationship Id="rId34" Type="http://schemas.openxmlformats.org/officeDocument/2006/relationships/hyperlink" Target="https://drive.google.com/file/d/18bqzZecoTtrLw589khDAy1K5-YqqM5cg/view?usp=drive_link" TargetMode="External"/><Relationship Id="rId55" Type="http://schemas.openxmlformats.org/officeDocument/2006/relationships/hyperlink" Target="https://drive.google.com/file/d/1Vpr4pfA3Kz-pIHSedo7DJRpX-bbuDMGP/view?usp=drive_link" TargetMode="External"/><Relationship Id="rId76" Type="http://schemas.openxmlformats.org/officeDocument/2006/relationships/hyperlink" Target="https://drive.google.com/file/d/1BaW0lMQgc_3PeTAiJG7QhWDZvqzFRlwN/view?usp=drive_link" TargetMode="External"/><Relationship Id="rId97" Type="http://schemas.openxmlformats.org/officeDocument/2006/relationships/hyperlink" Target="https://drive.google.com/file/d/1hBVAHS_M7zmD1jw0JfnXjUCrxs0o39HD/view?usp=drive_link" TargetMode="External"/><Relationship Id="rId120" Type="http://schemas.openxmlformats.org/officeDocument/2006/relationships/hyperlink" Target="https://drive.google.com/file/d/1foAD-xKx7fkGIcRTsavca_pmNbP6XWZw/view?usp=drive_link\" TargetMode="External"/><Relationship Id="rId141" Type="http://schemas.openxmlformats.org/officeDocument/2006/relationships/hyperlink" Target="https://drive.google.com/file/d/1zEwFAQwMJ_CfDlv_Ufwj-BuSyJB7VEmw/view?usp=drive_link" TargetMode="External"/><Relationship Id="rId7" Type="http://schemas.openxmlformats.org/officeDocument/2006/relationships/hyperlink" Target="https://drive.google.com/file/d/1zlpJzdZqfAQ1ihRzSXzpu-92YhNe8AlK/view?usp=drive_link" TargetMode="External"/><Relationship Id="rId162" Type="http://schemas.openxmlformats.org/officeDocument/2006/relationships/hyperlink" Target="https://drive.google.com/file/d/186msBxe6WXXkWfQcW1ncQ6VfBSGHiICd/view?usp=drive_link" TargetMode="External"/><Relationship Id="rId183" Type="http://schemas.openxmlformats.org/officeDocument/2006/relationships/hyperlink" Target="file:///C:\Users\EB578CQ\AppData\Local\Microsoft\Windows\INetCache\Content.Outlook\AppData\Local\Microsoft\Windows\INetCache\Content.Outlook\CRP9BITN\1778490065323.kml" TargetMode="External"/><Relationship Id="rId218" Type="http://schemas.openxmlformats.org/officeDocument/2006/relationships/hyperlink" Target="https://drive.google.com/file/d/1RM02QAYKiHO2ZrXj1-xZyccBC7oEk9Ez/view?usp=drive_link" TargetMode="External"/><Relationship Id="rId24" Type="http://schemas.openxmlformats.org/officeDocument/2006/relationships/hyperlink" Target="https://drive.google.com/file/d/1q2B7WkzYWgcNw_hrSmcqc_NAfYMyXxnS/view?usp=drive_link" TargetMode="External"/><Relationship Id="rId45" Type="http://schemas.openxmlformats.org/officeDocument/2006/relationships/hyperlink" Target="https://drive.google.com/file/d/1z7876GPSlwvGOZYl00UoILciI4p7AEEq/view?usp=drive_link" TargetMode="External"/><Relationship Id="rId66" Type="http://schemas.openxmlformats.org/officeDocument/2006/relationships/hyperlink" Target="https://drive.google.com/file/d/1Og2u4N7-OZRYnxH-44tWSI0nP_vib_PP/view?usp=drive_link" TargetMode="External"/><Relationship Id="rId87" Type="http://schemas.openxmlformats.org/officeDocument/2006/relationships/hyperlink" Target="https://drive.google.com/file/d/11UvNY9ckX-wEJe0VGRpjAaRpMI4S-R4c/view?usp=drive_link" TargetMode="External"/><Relationship Id="rId110" Type="http://schemas.openxmlformats.org/officeDocument/2006/relationships/hyperlink" Target="https://drive.google.com/file/d/1y0Db-cSiph2tdpVwt8bjSq22VF9d45qt/view?usp=drive_link" TargetMode="External"/><Relationship Id="rId131" Type="http://schemas.openxmlformats.org/officeDocument/2006/relationships/hyperlink" Target="https://drive.google.com/file/d/18ImgJiR4oiCZqAPtPqvoo6vFNONisyx_/view?usp=drive_link" TargetMode="External"/><Relationship Id="rId152" Type="http://schemas.openxmlformats.org/officeDocument/2006/relationships/hyperlink" Target="https://drive.google.com/file/d/13B8Gp65BeTZe4yFKL-KhHhXy1WFVUaUa/view?usp=drive_link" TargetMode="External"/><Relationship Id="rId173" Type="http://schemas.openxmlformats.org/officeDocument/2006/relationships/hyperlink" Target="https://drive.google.com/file/d/1hn0xmiQI6pVPSe9KVPgul4Z2BXl4cEeZ/view?usp=drive_link" TargetMode="External"/><Relationship Id="rId194" Type="http://schemas.openxmlformats.org/officeDocument/2006/relationships/hyperlink" Target="https://drive.google.com/file/d/1m0OJQ6rff2cNdVcTMxIJPEEASO8fPi64/view?usp=drive_link" TargetMode="External"/><Relationship Id="rId208" Type="http://schemas.openxmlformats.org/officeDocument/2006/relationships/hyperlink" Target="https://drive.google.com/file/d/1RNv9mZuCjUhArXvkDhXa3ExQdUW-ohp0/view?usp=drive_link" TargetMode="External"/><Relationship Id="rId14" Type="http://schemas.openxmlformats.org/officeDocument/2006/relationships/hyperlink" Target="https://drive.google.com/file/d/1HmDNO4zAmWgWYlo2OcN2zEvBtIq5mHkb/view?usp=drive_link" TargetMode="External"/><Relationship Id="rId35" Type="http://schemas.openxmlformats.org/officeDocument/2006/relationships/hyperlink" Target="https://drive.google.com/file/d/1Kmu_OoxYHsm_BD0ggQ1mnCzzR1DqO3T3/view?usp=drive_link" TargetMode="External"/><Relationship Id="rId56" Type="http://schemas.openxmlformats.org/officeDocument/2006/relationships/hyperlink" Target="https://drive.google.com/file/d/1pTPnTd5U4QDsxa3eM9Te0K1R8l1kWUgP/view?usp=drive_link" TargetMode="External"/><Relationship Id="rId77" Type="http://schemas.openxmlformats.org/officeDocument/2006/relationships/hyperlink" Target="https://drive.google.com/file/d/1jwr1DB-puLtx8Lp9Ec-5XEHGXZlt--73/view?usp=drive_link" TargetMode="External"/><Relationship Id="rId100" Type="http://schemas.openxmlformats.org/officeDocument/2006/relationships/hyperlink" Target="https://drive.google.com/file/d/1ANx2Stf4p_Q2R1BDz7JXYLZHHxkGERnM/view?usp=drive_link" TargetMode="External"/><Relationship Id="rId8" Type="http://schemas.openxmlformats.org/officeDocument/2006/relationships/hyperlink" Target="https://drive.google.com/file/d/1xF_9Or3tv7SAj0tRCvWKXk4mrf7BtORr/view?usp=drive_link" TargetMode="External"/><Relationship Id="rId51" Type="http://schemas.openxmlformats.org/officeDocument/2006/relationships/hyperlink" Target="https://drive.google.com/file/d/1t2LInNnRRAl1G74n1q-M5EU0_xOattj2/view?usp=drive_link" TargetMode="External"/><Relationship Id="rId72" Type="http://schemas.openxmlformats.org/officeDocument/2006/relationships/hyperlink" Target="https://drive.google.com/file/d/1QG2DiofnmuAMegXW7YVZFwaIJ4JyBDpQ/view?usp=drive_link" TargetMode="External"/><Relationship Id="rId93" Type="http://schemas.openxmlformats.org/officeDocument/2006/relationships/hyperlink" Target="https://drive.google.com/file/d/1ETzPt0yzaAZcw_eETYZn6jatdnd6D1V7/view?usp=drive_link" TargetMode="External"/><Relationship Id="rId98" Type="http://schemas.openxmlformats.org/officeDocument/2006/relationships/hyperlink" Target="https://drive.google.com/file/d/18R9y98X__tgnMbxJ-ADiSs5JwKLd0CmF/view?usp=drive_link" TargetMode="External"/><Relationship Id="rId121" Type="http://schemas.openxmlformats.org/officeDocument/2006/relationships/hyperlink" Target="https://drive.google.com/file/d/1dj-sND_hO-PDWHv4CJPZQIQetgIoqhkx/view?usp=drive_link" TargetMode="External"/><Relationship Id="rId142" Type="http://schemas.openxmlformats.org/officeDocument/2006/relationships/hyperlink" Target="https://drive.google.com/file/d/1II7W6BJ6xNNO_QmsQesNRXrIyI2q9Fhk/view?usp=drive_link" TargetMode="External"/><Relationship Id="rId163" Type="http://schemas.openxmlformats.org/officeDocument/2006/relationships/hyperlink" Target="https://drive.google.com/file/d/1_CoDfBDQ39U6jK5xwuDFk4XHLDxusvSe/view?usp=drive_link" TargetMode="External"/><Relationship Id="rId184" Type="http://schemas.openxmlformats.org/officeDocument/2006/relationships/hyperlink" Target="https://drive.google.com/file/d/1RMowPQD7fBpMnoqTHRs1ut5nG1H8To0e/view?usp=drive_link" TargetMode="External"/><Relationship Id="rId189" Type="http://schemas.openxmlformats.org/officeDocument/2006/relationships/hyperlink" Target="https://drive.google.com/file/d/1rh4Ux6x_eKoYcml38YmGdyQwM25GRpxo/view?usp=drive_link" TargetMode="External"/><Relationship Id="rId219" Type="http://schemas.openxmlformats.org/officeDocument/2006/relationships/hyperlink" Target="https://drive.google.com/file/d/1e88cPvLbufjFDobpLWh3YDDsAOp0kh6y/view?usp=drive_link" TargetMode="External"/><Relationship Id="rId3" Type="http://schemas.openxmlformats.org/officeDocument/2006/relationships/hyperlink" Target="https://drive.google.com/file/d/1T3cPDnAIbVhMlAxRtI8uvUhJ9EreIK7q/view?usp=drive_link" TargetMode="External"/><Relationship Id="rId214" Type="http://schemas.openxmlformats.org/officeDocument/2006/relationships/hyperlink" Target="https://drive.google.com/file/d/1jwA9kD9ECPociOkFuG5zYoVImR91qXic/view?usp=drive_link" TargetMode="External"/><Relationship Id="rId25" Type="http://schemas.openxmlformats.org/officeDocument/2006/relationships/hyperlink" Target="https://drive.google.com/file/d/1_Ch2YM396KlBckmxu0tbLFNU9KGswegI/view?usp=drive_link" TargetMode="External"/><Relationship Id="rId46" Type="http://schemas.openxmlformats.org/officeDocument/2006/relationships/hyperlink" Target="https://drive.google.com/file/d/1foXDA_lAqurp40KSXy-ovor966G3iDNn/view?usp=drive_link" TargetMode="External"/><Relationship Id="rId67" Type="http://schemas.openxmlformats.org/officeDocument/2006/relationships/hyperlink" Target="https://drive.google.com/file/d/1EkplBf8SwugsjLIVKaMdWyXXaFk4dsWe/view?usp=drive_link" TargetMode="External"/><Relationship Id="rId116" Type="http://schemas.openxmlformats.org/officeDocument/2006/relationships/hyperlink" Target="https://drive.google.com/file/d/103dNxkc6pqqCPZsBWB73FayF6RToFZZz/view?usp=drive_link" TargetMode="External"/><Relationship Id="rId137" Type="http://schemas.openxmlformats.org/officeDocument/2006/relationships/hyperlink" Target="https://drive.google.com/file/d/1tTqbmcmDKvsG6vtA3KTNp166ffs7MLmS/view?usp=drive_link" TargetMode="External"/><Relationship Id="rId158" Type="http://schemas.openxmlformats.org/officeDocument/2006/relationships/hyperlink" Target="https://drive.google.com/file/d/1E_P0IoyKty6_1YkibyzPGSu4g0xMpMLX/view?usp=drive_link" TargetMode="External"/><Relationship Id="rId20" Type="http://schemas.openxmlformats.org/officeDocument/2006/relationships/hyperlink" Target="https://drive.google.com/file/d/1VwSZUTtzNwPb1glht3MlKe7jCTp6mO8M/view?usp=drive_link" TargetMode="External"/><Relationship Id="rId41" Type="http://schemas.openxmlformats.org/officeDocument/2006/relationships/hyperlink" Target="https://drive.google.com/file/d/1vGCmCUGIHwBCDr-xsnvHBlLrV50BO1Gh/view?usp=drive_link" TargetMode="External"/><Relationship Id="rId62" Type="http://schemas.openxmlformats.org/officeDocument/2006/relationships/hyperlink" Target="https://drive.google.com/file/d/1sPvJliFEIOTm3mRtZk7LmkRVheKwba-R/view?usp=drive_link" TargetMode="External"/><Relationship Id="rId83" Type="http://schemas.openxmlformats.org/officeDocument/2006/relationships/hyperlink" Target="https://drive.google.com/file/d/1ShocjVEU7Cs5sf5mWjm53UoXYrzR45Ye/view?usp=drive_link" TargetMode="External"/><Relationship Id="rId88" Type="http://schemas.openxmlformats.org/officeDocument/2006/relationships/hyperlink" Target="https://drive.google.com/file/d/1mxdSZvcz0o1fi-Ipo2MF4wv4MBrH6HdC/view?usp=drive_link" TargetMode="External"/><Relationship Id="rId111" Type="http://schemas.openxmlformats.org/officeDocument/2006/relationships/hyperlink" Target="https://drive.google.com/file/d/1um5ikf9cLKnHzSPR8SYMEJkUaFQdjj4r/view?usp=drive_link" TargetMode="External"/><Relationship Id="rId132" Type="http://schemas.openxmlformats.org/officeDocument/2006/relationships/hyperlink" Target="https://drive.google.com/file/d/1LmP1ToVl0sB-Oqf09COIszScEQHVbTR3/view?usp=drive_link" TargetMode="External"/><Relationship Id="rId153" Type="http://schemas.openxmlformats.org/officeDocument/2006/relationships/hyperlink" Target="https://drive.google.com/file/d/1cExXd8TAv2FawBonqGAizL72UiklNkqS/view?usp=drive_link" TargetMode="External"/><Relationship Id="rId174" Type="http://schemas.openxmlformats.org/officeDocument/2006/relationships/hyperlink" Target="https://drive.google.com/file/d/13onvbIBNdmC6F0yCmhyDwzlIn5OGPJyi/view?usp=drive_link" TargetMode="External"/><Relationship Id="rId179" Type="http://schemas.openxmlformats.org/officeDocument/2006/relationships/hyperlink" Target="https://drive.google.com/file/d/1H8jglGP56ZxiKhFbYFtvH2ldBiIvXjA6/view?usp=drive_link" TargetMode="External"/><Relationship Id="rId195" Type="http://schemas.openxmlformats.org/officeDocument/2006/relationships/hyperlink" Target="https://drive.google.com/file/d/1Fc1-t0IH8n8Uufp0Tg7ofO_oBBwMllzi/view?usp=drive_link" TargetMode="External"/><Relationship Id="rId209" Type="http://schemas.openxmlformats.org/officeDocument/2006/relationships/hyperlink" Target="https://drive.google.com/file/d/1tkjS_9TNEDG6Zq-_v7qa5HPckRD0yz1j/view?usp=drive_link" TargetMode="External"/><Relationship Id="rId190" Type="http://schemas.openxmlformats.org/officeDocument/2006/relationships/hyperlink" Target="https://drive.google.com/file/d/1qMpWbAotrzld7iM_FsSFNRAB9sLkslMN/view?usp=drive_link" TargetMode="External"/><Relationship Id="rId204" Type="http://schemas.openxmlformats.org/officeDocument/2006/relationships/hyperlink" Target="https://drive.google.com/file/d/1jVdGjeEHQFWFNxwAMGtc1rFgPS1f7WLq/view?usp=drive_link" TargetMode="External"/><Relationship Id="rId220" Type="http://schemas.openxmlformats.org/officeDocument/2006/relationships/hyperlink" Target="https://drive.google.com/file/d/1sAZjpKUiaK18srkuB31h54_DNUDnrfhx/view?usp=drive_link" TargetMode="External"/><Relationship Id="rId15" Type="http://schemas.openxmlformats.org/officeDocument/2006/relationships/hyperlink" Target="https://drive.google.com/file/d/1gwbx4gouuP1v9hoMvJbdv-3wGsVcPsdV/view?usp=drive_link" TargetMode="External"/><Relationship Id="rId36" Type="http://schemas.openxmlformats.org/officeDocument/2006/relationships/hyperlink" Target="https://drive.google.com/file/d/1hljTZ-ttX3q97b97hQ816ykwwJunBwqA/view?usp=drive_link" TargetMode="External"/><Relationship Id="rId57" Type="http://schemas.openxmlformats.org/officeDocument/2006/relationships/hyperlink" Target="https://drive.google.com/file/d/1AzthaOH-NWp215CunDex57ZWGstAWssV/view?usp=drive_link" TargetMode="External"/><Relationship Id="rId106" Type="http://schemas.openxmlformats.org/officeDocument/2006/relationships/hyperlink" Target="https://drive.google.com/file/d/1nFXMrbivZK7whDd_WHUt0Gr_aJxxzOe0/view?usp=drive_link" TargetMode="External"/><Relationship Id="rId127" Type="http://schemas.openxmlformats.org/officeDocument/2006/relationships/hyperlink" Target="https://drive.google.com/file/d/1hzKrSJuf_39jfDJamCsW8sK_A-T4hbBy/view?usp=drive_link" TargetMode="External"/><Relationship Id="rId10" Type="http://schemas.openxmlformats.org/officeDocument/2006/relationships/hyperlink" Target="https://drive.google.com/file/d/1gNaEIwSJtThy3-foePlKDVRZ8ykkff4b/view?usp=drive_link" TargetMode="External"/><Relationship Id="rId31" Type="http://schemas.openxmlformats.org/officeDocument/2006/relationships/hyperlink" Target="https://drive.google.com/file/d/1npHdyjDFCw4LmArJU4mP09dRbYcxSRV8/view?usp=drive_link" TargetMode="External"/><Relationship Id="rId52" Type="http://schemas.openxmlformats.org/officeDocument/2006/relationships/hyperlink" Target="https://drive.google.com/file/d/1DSZF7Fr5WVH2zqIQLW8PKb_2BJoFIAun/view?usp=drive_link" TargetMode="External"/><Relationship Id="rId73" Type="http://schemas.openxmlformats.org/officeDocument/2006/relationships/hyperlink" Target="https://drive.google.com/file/d/1AH5121me9biPxhNM_s6H65dyCq8FLjDE/view?usp=drive_link" TargetMode="External"/><Relationship Id="rId78" Type="http://schemas.openxmlformats.org/officeDocument/2006/relationships/hyperlink" Target="https://drive.google.com/file/d/1_KHXekoEgOsf6zDVWpHeWATlLwSsU4sR/view?usp=drive_link" TargetMode="External"/><Relationship Id="rId94" Type="http://schemas.openxmlformats.org/officeDocument/2006/relationships/hyperlink" Target="https://drive.google.com/file/d/1zTTsrj2BNlJcZc0Kv-5yXN2AKQ6qYNd3/view?usp=drive_link" TargetMode="External"/><Relationship Id="rId99" Type="http://schemas.openxmlformats.org/officeDocument/2006/relationships/hyperlink" Target="https://drive.google.com/file/d/1Y76BvGmvd2SueQlgHGHF1t5CHOxlQq4Y/view?usp=drive_link" TargetMode="External"/><Relationship Id="rId101" Type="http://schemas.openxmlformats.org/officeDocument/2006/relationships/hyperlink" Target="https://drive.google.com/file/d/1icEc7ESa9-x7jwRxYRI6vVmPIDiaw5he/view?usp=drive_link" TargetMode="External"/><Relationship Id="rId122" Type="http://schemas.openxmlformats.org/officeDocument/2006/relationships/hyperlink" Target="https://drive.google.com/file/d/1QOHZIGUwvQ_-zui_6RtWjK7IaftIy8f9/view?usp=drive_link" TargetMode="External"/><Relationship Id="rId143" Type="http://schemas.openxmlformats.org/officeDocument/2006/relationships/hyperlink" Target="https://drive.google.com/file/d/1NO2G5b8wTH45dXegvBK-4w3E_JlX4TCT/view?usp=drive_link" TargetMode="External"/><Relationship Id="rId148" Type="http://schemas.openxmlformats.org/officeDocument/2006/relationships/hyperlink" Target="https://drive.google.com/file/d/1ECXQDGazxy-Jt6g7sgkDYPXXEKQJnL1B/view?usp=drive_link" TargetMode="External"/><Relationship Id="rId164" Type="http://schemas.openxmlformats.org/officeDocument/2006/relationships/hyperlink" Target="https://drive.google.com/file/d/1k33pF1cq_2xxgY1Sz-VHlXrmJWsQyVCj/view?usp=drive_link" TargetMode="External"/><Relationship Id="rId169" Type="http://schemas.openxmlformats.org/officeDocument/2006/relationships/hyperlink" Target="https://drive.google.com/file/d/1PoG9PKx0leS85WBpN8bnlbpGwFMB11NY/view?usp=drive_link" TargetMode="External"/><Relationship Id="rId185" Type="http://schemas.openxmlformats.org/officeDocument/2006/relationships/hyperlink" Target="https://drive.google.com/file/d/1MSS1hFDMWGbSWuzcBnYDg30UKXR1P-h3/view?usp=drive_link" TargetMode="External"/><Relationship Id="rId4" Type="http://schemas.openxmlformats.org/officeDocument/2006/relationships/hyperlink" Target="https://drive.google.com/file/d/1ts-DnkR2qSaq2GT-k3XqVTmh9Qcz_X_6/view?usp=drive_link" TargetMode="External"/><Relationship Id="rId9" Type="http://schemas.openxmlformats.org/officeDocument/2006/relationships/hyperlink" Target="https://drive.google.com/file/d/11baJexfJiYkCZftrZzpf89hteMyUN6TD/view?usp=drive_link" TargetMode="External"/><Relationship Id="rId180" Type="http://schemas.openxmlformats.org/officeDocument/2006/relationships/hyperlink" Target="https://drive.google.com/file/d/1Cwde_7jGvSdKeBZ5-3pLsQLbG14uSwcb/view?usp=drive_link" TargetMode="External"/><Relationship Id="rId210" Type="http://schemas.openxmlformats.org/officeDocument/2006/relationships/hyperlink" Target="https://drive.google.com/file/d/1APYk4E1aBv89X2zdnTjkmDJr997d3LQH/view?usp=drive_link" TargetMode="External"/><Relationship Id="rId215" Type="http://schemas.openxmlformats.org/officeDocument/2006/relationships/hyperlink" Target="https://drive.google.com/file/d/1CMgTTwfKwGteVvClmrihH5auTNEDjSmy/view?usp=drive_link" TargetMode="External"/><Relationship Id="rId26" Type="http://schemas.openxmlformats.org/officeDocument/2006/relationships/hyperlink" Target="https://drive.google.com/file/d/1lSJS74a9w9zvOoQl3tRZBwd2G42VB07i/view?usp=drive_link" TargetMode="External"/><Relationship Id="rId47" Type="http://schemas.openxmlformats.org/officeDocument/2006/relationships/hyperlink" Target="https://drive.google.com/file/d/10TS_wqX0q4_9ICzMBboZhxP2SR8bmrOC/view?usp=drive_link" TargetMode="External"/><Relationship Id="rId68" Type="http://schemas.openxmlformats.org/officeDocument/2006/relationships/hyperlink" Target="https://drive.google.com/file/d/1md0DhBy-U7pjGb1jyCOuv0e-_2FE2llr/view?usp=drive_link" TargetMode="External"/><Relationship Id="rId89" Type="http://schemas.openxmlformats.org/officeDocument/2006/relationships/hyperlink" Target="https://drive.google.com/file/d/1k_fvQIarv8CGcVY5lhcfRfQcN-9HUPXS/view?usp=drive_link" TargetMode="External"/><Relationship Id="rId112" Type="http://schemas.openxmlformats.org/officeDocument/2006/relationships/hyperlink" Target="https://drive.google.com/file/d/1Cp-P0YIQ0qTFOVo0dNPsdG2MootPB1iO/view?usp=drive_link" TargetMode="External"/><Relationship Id="rId133" Type="http://schemas.openxmlformats.org/officeDocument/2006/relationships/hyperlink" Target="https://drive.google.com/file/d/1P_qkqYppgWVh2LlSHgCm3ehfclWSTPPd/view?usp=drive_link" TargetMode="External"/><Relationship Id="rId154" Type="http://schemas.openxmlformats.org/officeDocument/2006/relationships/hyperlink" Target="https://drive.google.com/file/d/1QuASaen7cyaG1ThcewfD9ADDcYyL0ov5/view?usp=drive_link" TargetMode="External"/><Relationship Id="rId175" Type="http://schemas.openxmlformats.org/officeDocument/2006/relationships/hyperlink" Target="https://drive.google.com/file/d/16SlGQm5H-ometrOWUS2sK1bWfa6Nolrc/view?usp=drive_link" TargetMode="External"/><Relationship Id="rId196" Type="http://schemas.openxmlformats.org/officeDocument/2006/relationships/hyperlink" Target="https://drive.google.com/file/d/1kR1WwwpkOBhKQTnkobEopI8dl7wlDo0L/view?usp=drive_link" TargetMode="External"/><Relationship Id="rId200" Type="http://schemas.openxmlformats.org/officeDocument/2006/relationships/hyperlink" Target="https://drive.google.com/file/d/1opBA6lzmWtBrmhXYyEUuhholjr0J6Ew4/view?usp=drive_link" TargetMode="External"/><Relationship Id="rId16" Type="http://schemas.openxmlformats.org/officeDocument/2006/relationships/hyperlink" Target="https://drive.google.com/file/d/1xsvDOnnndoK_39ylPiGCMG7y_7F1zq7V/view?usp=drive_link" TargetMode="External"/><Relationship Id="rId221" Type="http://schemas.openxmlformats.org/officeDocument/2006/relationships/printerSettings" Target="../printerSettings/printerSettings1.bin"/><Relationship Id="rId37" Type="http://schemas.openxmlformats.org/officeDocument/2006/relationships/hyperlink" Target="https://drive.google.com/file/d/1QahObnWysU73e4ccVCoLfHsgmJLuHt2b/view?usp=drive_link" TargetMode="External"/><Relationship Id="rId58" Type="http://schemas.openxmlformats.org/officeDocument/2006/relationships/hyperlink" Target="https://drive.google.com/file/d/1W3SipfL7_pXvv8Vhl0Q4FeIzMdZot_mW/view?usp=drive_link" TargetMode="External"/><Relationship Id="rId79" Type="http://schemas.openxmlformats.org/officeDocument/2006/relationships/hyperlink" Target="https://drive.google.com/file/d/1adfZwuKNJvQfoRCusNeGqBUxWTAAUTVz/view?usp=drive_link" TargetMode="External"/><Relationship Id="rId102" Type="http://schemas.openxmlformats.org/officeDocument/2006/relationships/hyperlink" Target="https://drive.google.com/file/d/1RH_fYat579mizR1YMjbpb2kkfieRRjwI/view?usp=drive_link" TargetMode="External"/><Relationship Id="rId123" Type="http://schemas.openxmlformats.org/officeDocument/2006/relationships/hyperlink" Target="https://drive.google.com/file/d/1RvvzsTVJfSYU0Y7fe6ajs_67DxpdrLhF/view?usp=drive_link" TargetMode="External"/><Relationship Id="rId144" Type="http://schemas.openxmlformats.org/officeDocument/2006/relationships/hyperlink" Target="https://drive.google.com/file/d/1heM4QEpA-Vi7s_FLWLsG5dnsX-nuIiOa/view?usp=drive_link" TargetMode="External"/><Relationship Id="rId90" Type="http://schemas.openxmlformats.org/officeDocument/2006/relationships/hyperlink" Target="https://drive.google.com/file/d/1R6AuFur4A-aX3Jlz41YGyOdozyuv4wxU/view?usp=drive_link" TargetMode="External"/><Relationship Id="rId165" Type="http://schemas.openxmlformats.org/officeDocument/2006/relationships/hyperlink" Target="https://drive.google.com/file/d/16VmqApcGqVtkVMp7w6VNKKvf44UKIEZ9/view?usp=drive_link" TargetMode="External"/><Relationship Id="rId186" Type="http://schemas.openxmlformats.org/officeDocument/2006/relationships/hyperlink" Target="https://drive.google.com/file/d/1fhzv2gZ64syys66pYBWYiaxsiidTfBs3/view?usp=drive_link" TargetMode="External"/><Relationship Id="rId211" Type="http://schemas.openxmlformats.org/officeDocument/2006/relationships/hyperlink" Target="https://drive.google.com/file/d/1jpZ8eyBGqajbhIpbi5K_6fThGeUgsSdF/view?usp=drive_link" TargetMode="External"/><Relationship Id="rId27" Type="http://schemas.openxmlformats.org/officeDocument/2006/relationships/hyperlink" Target="https://drive.google.com/file/d/15vZUXTy7NFvfhJ3zb6ELgGz3qS1uN7-F/view?usp=drive_link" TargetMode="External"/><Relationship Id="rId48" Type="http://schemas.openxmlformats.org/officeDocument/2006/relationships/hyperlink" Target="https://drive.google.com/file/d/151HJwWHl-0wnoN_5i6lBXRXDTxX9Xe-a/view?usp=drive_link" TargetMode="External"/><Relationship Id="rId69" Type="http://schemas.openxmlformats.org/officeDocument/2006/relationships/hyperlink" Target="https://drive.google.com/file/d/1LZa1sibUHZDNVCxAUnr3AtE3pzKuhkva/view?usp=drive_link" TargetMode="External"/><Relationship Id="rId113" Type="http://schemas.openxmlformats.org/officeDocument/2006/relationships/hyperlink" Target="https://drive.google.com/file/d/1JBvMzKylCWgQymHyDu3_7kaivE1CwN5O/view?usp=drive_link" TargetMode="External"/><Relationship Id="rId134" Type="http://schemas.openxmlformats.org/officeDocument/2006/relationships/hyperlink" Target="https://drive.google.com/file/d/1hclX08ezR2aKzfwGWtkx7MT-5egM_XEq/view?usp=drive_link" TargetMode="External"/><Relationship Id="rId80" Type="http://schemas.openxmlformats.org/officeDocument/2006/relationships/hyperlink" Target="https://drive.google.com/file/d/1UA_nkymf7MrP_ITK2eLgZrvfKiCrTcBe/view?usp=drive_link" TargetMode="External"/><Relationship Id="rId155" Type="http://schemas.openxmlformats.org/officeDocument/2006/relationships/hyperlink" Target="https://drive.google.com/file/d/1-Mx7hEx0T7U-wlQs2fcVz-NxM2lxwd4s/view?usp=drive_link" TargetMode="External"/><Relationship Id="rId176" Type="http://schemas.openxmlformats.org/officeDocument/2006/relationships/hyperlink" Target="https://drive.google.com/file/d/1SHrTGMIIGP-6RVRWqM2HR_CM0ykW6F1w/view?usp=drive_link" TargetMode="External"/><Relationship Id="rId197" Type="http://schemas.openxmlformats.org/officeDocument/2006/relationships/hyperlink" Target="https://drive.google.com/file/d/1us2DCRvrSFqD_WLfEWS3jxefEA51VQo0/view?usp=drive_link" TargetMode="External"/><Relationship Id="rId201" Type="http://schemas.openxmlformats.org/officeDocument/2006/relationships/hyperlink" Target="https://drive.google.com/file/d/1cU9c43Ew-jlECojUXCV-mSY9-Hlj_vKP/view?usp=drive_link" TargetMode="External"/><Relationship Id="rId17" Type="http://schemas.openxmlformats.org/officeDocument/2006/relationships/hyperlink" Target="https://drive.google.com/file/d/129LnZYLrNz4qsKdn_m6mqv_RiUFS5liT/view?usp=drive_link" TargetMode="External"/><Relationship Id="rId38" Type="http://schemas.openxmlformats.org/officeDocument/2006/relationships/hyperlink" Target="https://drive.google.com/file/d/1wnlZC_YdgLY9-EvQy1f_v0jTzhXy-Vuq/view?usp=drive_link" TargetMode="External"/><Relationship Id="rId59" Type="http://schemas.openxmlformats.org/officeDocument/2006/relationships/hyperlink" Target="https://drive.google.com/file/d/1E-J8koDsnYQoH8orJSCzD0qyGSflYi9L/view?usp=drive_link" TargetMode="External"/><Relationship Id="rId103" Type="http://schemas.openxmlformats.org/officeDocument/2006/relationships/hyperlink" Target="https://drive.google.com/file/d/1feZdgx65tr9CUQQAZZwy3jNAiiIHQqlw/view?usp=drive_link" TargetMode="External"/><Relationship Id="rId124" Type="http://schemas.openxmlformats.org/officeDocument/2006/relationships/hyperlink" Target="https://drive.google.com/file/d/1wTYxZmncIzYVYE-62CQlVwNQp2ylVtHB/view?usp=drive_link" TargetMode="External"/><Relationship Id="rId70" Type="http://schemas.openxmlformats.org/officeDocument/2006/relationships/hyperlink" Target="https://drive.google.com/file/d/1fEDXV7m9kAZH7rJWKsKeGi4-9GhmPR-4/view?usp=drive_link" TargetMode="External"/><Relationship Id="rId91" Type="http://schemas.openxmlformats.org/officeDocument/2006/relationships/hyperlink" Target="https://drive.google.com/file/d/1wTFOLu0HdFWPJ-XuuN9Y2v2DNq8iWSx7/view?usp=drive_link" TargetMode="External"/><Relationship Id="rId145" Type="http://schemas.openxmlformats.org/officeDocument/2006/relationships/hyperlink" Target="https://drive.google.com/file/d/1IwlG5e33FTORYALR3h2q1rIv6i-Mnf-q/view?usp=drive_link" TargetMode="External"/><Relationship Id="rId166" Type="http://schemas.openxmlformats.org/officeDocument/2006/relationships/hyperlink" Target="https://drive.google.com/file/d/1tapewtgXcDe9GOxSfZltyegMK_U5KI1w/view?usp=drive_link" TargetMode="External"/><Relationship Id="rId187" Type="http://schemas.openxmlformats.org/officeDocument/2006/relationships/hyperlink" Target="https://drive.google.com/file/d/1DaMGNFa5mRrP7l64FXFYMd01MIZ55HgY/view?usp=drive_link" TargetMode="External"/><Relationship Id="rId1" Type="http://schemas.openxmlformats.org/officeDocument/2006/relationships/hyperlink" Target="https://drive.google.com/file/d/1SC_eul8M_GZ8KcaAr8GUR3JrTdGA_uB9/view?usp=drive_link" TargetMode="External"/><Relationship Id="rId212" Type="http://schemas.openxmlformats.org/officeDocument/2006/relationships/hyperlink" Target="https://drive.google.com/file/d/1oYYa1eZb-URpUXJTYoGbXqFo6UJlpf4L/view?usp=drive_link" TargetMode="External"/><Relationship Id="rId28" Type="http://schemas.openxmlformats.org/officeDocument/2006/relationships/hyperlink" Target="https://drive.google.com/file/d/1jq37c5Tj_gOm0APBgOwR9IHXy4Mdj0jq/view?usp=drive_link" TargetMode="External"/><Relationship Id="rId49" Type="http://schemas.openxmlformats.org/officeDocument/2006/relationships/hyperlink" Target="https://drive.google.com/file/d/1pBj4gGzZnzaqKjEQ6mqHJG8QduaOqJE0/view?usp=drive_link" TargetMode="External"/><Relationship Id="rId114" Type="http://schemas.openxmlformats.org/officeDocument/2006/relationships/hyperlink" Target="https://drive.google.com/file/d/1f_B0ROFcpGfm4kXSqQjUEyOdj-cJ5-jT/view?usp=drive_link" TargetMode="External"/><Relationship Id="rId60" Type="http://schemas.openxmlformats.org/officeDocument/2006/relationships/hyperlink" Target="https://drive.google.com/file/d/1NrlxMAS9dpEK8_3hPACjJ5MQdnT8_Ymo/view?usp=drive_link" TargetMode="External"/><Relationship Id="rId81" Type="http://schemas.openxmlformats.org/officeDocument/2006/relationships/hyperlink" Target="https://drive.google.com/file/d/1e-Ij2wIpNBz_B8TMQfYcryk4G8kCpCIo/view?usp=drive_link" TargetMode="External"/><Relationship Id="rId135" Type="http://schemas.openxmlformats.org/officeDocument/2006/relationships/hyperlink" Target="https://drive.google.com/file/d/1veL6lnARpdhz9wBs2QvITpPZdjkVL749/view?usp=drive_link" TargetMode="External"/><Relationship Id="rId156" Type="http://schemas.openxmlformats.org/officeDocument/2006/relationships/hyperlink" Target="https://drive.google.com/file/d/1eIE61QzRaXmU2VdK5U-_jwZ31v9fWF4r/view?usp=drive_link" TargetMode="External"/><Relationship Id="rId177" Type="http://schemas.openxmlformats.org/officeDocument/2006/relationships/hyperlink" Target="https://drive.google.com/file/d/1rVzPDQpvv8G3te0_aoavlVIoCL__Ni6k/view?usp=drive_link" TargetMode="External"/><Relationship Id="rId198" Type="http://schemas.openxmlformats.org/officeDocument/2006/relationships/hyperlink" Target="https://drive.google.com/file/d/1IVyFxtwtFrT3QQmOf6fAk4DzVV7EcFh8/view?usp=drive_link" TargetMode="External"/><Relationship Id="rId202" Type="http://schemas.openxmlformats.org/officeDocument/2006/relationships/hyperlink" Target="https://drive.google.com/file/d/1UmsTwxL7RBC0zX0atKm2nZxXGu_WSW4S/view?usp=drive_link" TargetMode="External"/><Relationship Id="rId18" Type="http://schemas.openxmlformats.org/officeDocument/2006/relationships/hyperlink" Target="https://drive.google.com/file/d/1o59dDek0BCKhS_PNGNU1x7g6hhTism6o/view?usp=drive_link" TargetMode="External"/><Relationship Id="rId39" Type="http://schemas.openxmlformats.org/officeDocument/2006/relationships/hyperlink" Target="https://drive.google.com/file/d/184uU_K27jGiGjmOGDC1-H0y-NetRDzIQ/view?usp=drive_link" TargetMode="External"/><Relationship Id="rId50" Type="http://schemas.openxmlformats.org/officeDocument/2006/relationships/hyperlink" Target="https://drive.google.com/file/d/1suEXMfG0PCLzM13lV2D342TOuGt8PP6h/view?usp=drive_link" TargetMode="External"/><Relationship Id="rId104" Type="http://schemas.openxmlformats.org/officeDocument/2006/relationships/hyperlink" Target="https://drive.google.com/file/d/1AvjuRAqVtHE7siiS0PwhQUvpS1qD5_eJ/view?usp=drive_link" TargetMode="External"/><Relationship Id="rId125" Type="http://schemas.openxmlformats.org/officeDocument/2006/relationships/hyperlink" Target="https://drive.google.com/file/d/1j_jXsC4HEjjMz4qgXFzKZJnyyGynJb0b/view?usp=drive_link" TargetMode="External"/><Relationship Id="rId146" Type="http://schemas.openxmlformats.org/officeDocument/2006/relationships/hyperlink" Target="https://drive.google.com/file/d/14zdpek7XDn95kHJcNJFk74209EpepJwD/view?usp=drive_link" TargetMode="External"/><Relationship Id="rId167" Type="http://schemas.openxmlformats.org/officeDocument/2006/relationships/hyperlink" Target="https://drive.google.com/file/d/1LOlnk1tq91NyyiETCQSSCSEPAtcjhtBE/view?usp=drive_link" TargetMode="External"/><Relationship Id="rId188" Type="http://schemas.openxmlformats.org/officeDocument/2006/relationships/hyperlink" Target="https://drive.google.com/file/d/1l-IvUfy6ZLkP26KpoFE-t6p575hWZ6Ej/view?usp=drive_link" TargetMode="External"/><Relationship Id="rId71" Type="http://schemas.openxmlformats.org/officeDocument/2006/relationships/hyperlink" Target="https://drive.google.com/file/d/1aMDZ_QlHrg-6atveDzscfK2amyUQYZpd/view?usp=drive_link" TargetMode="External"/><Relationship Id="rId92" Type="http://schemas.openxmlformats.org/officeDocument/2006/relationships/hyperlink" Target="https://drive.google.com/file/d/15WVGQpTuWHaAqnkhBI57LKxheQxH3b9q/view?usp=drive_link" TargetMode="External"/><Relationship Id="rId213" Type="http://schemas.openxmlformats.org/officeDocument/2006/relationships/hyperlink" Target="https://drive.google.com/file/d/14jcCHub7wh3oBHqc8HjgOoGgnm5DgV8m/view?usp=drive_link" TargetMode="External"/><Relationship Id="rId2" Type="http://schemas.openxmlformats.org/officeDocument/2006/relationships/hyperlink" Target="https://drive.google.com/file/d/1BYPEUmsDqZcBgICBLK11s9ASCc50Cxx0/view?usp=drive_link" TargetMode="External"/><Relationship Id="rId29" Type="http://schemas.openxmlformats.org/officeDocument/2006/relationships/hyperlink" Target="https://drive.google.com/file/d/1E6AXPEb0jbLx3uYDikEq8CW62tgdoJUG/view?usp=drive_link" TargetMode="External"/><Relationship Id="rId40" Type="http://schemas.openxmlformats.org/officeDocument/2006/relationships/hyperlink" Target="https://drive.google.com/file/d/1NkWS6wr1KE3pg7nT_0wXg3FdTs-C-eun/view?usp=drive_link" TargetMode="External"/><Relationship Id="rId115" Type="http://schemas.openxmlformats.org/officeDocument/2006/relationships/hyperlink" Target="https://drive.google.com/file/d/1HN8vj86D9u2JdFoghuc0PpuObhzomJxd/view?usp=drive_link" TargetMode="External"/><Relationship Id="rId136" Type="http://schemas.openxmlformats.org/officeDocument/2006/relationships/hyperlink" Target="https://drive.google.com/file/d/1beRoQy_8awtAFnvBVaQOtvNvQseYeQjn/view?usp=drive_link" TargetMode="External"/><Relationship Id="rId157" Type="http://schemas.openxmlformats.org/officeDocument/2006/relationships/hyperlink" Target="https://drive.google.com/file/d/1dToeDJu5-Q0Ia_-INoJpLn_QiGf1ZmgX/view?usp=drive_link" TargetMode="External"/><Relationship Id="rId178" Type="http://schemas.openxmlformats.org/officeDocument/2006/relationships/hyperlink" Target="https://drive.google.com/file/d/1HlzAq_GL_HnVNf1KaXXkeWEzgAlg4scb/view?usp=drive_link" TargetMode="External"/><Relationship Id="rId61" Type="http://schemas.openxmlformats.org/officeDocument/2006/relationships/hyperlink" Target="https://drive.google.com/file/d/1SqVnRN26I8rNYePARVsQ-X4u_IUv_k_h/view?usp=drive_link" TargetMode="External"/><Relationship Id="rId82" Type="http://schemas.openxmlformats.org/officeDocument/2006/relationships/hyperlink" Target="https://drive.google.com/file/d/1nZxJjhhXd0ozzLyy67GYSuGA3b06VxF_/view?usp=drive_link" TargetMode="External"/><Relationship Id="rId199" Type="http://schemas.openxmlformats.org/officeDocument/2006/relationships/hyperlink" Target="https://drive.google.com/file/d/1m8kzRiHXbJe6p_o7t95cJOUUr4VF5c7Z/view?usp=drive_link" TargetMode="External"/><Relationship Id="rId203" Type="http://schemas.openxmlformats.org/officeDocument/2006/relationships/hyperlink" Target="https://drive.google.com/file/d/1zTTsrj2BNlJcZc0Kv-5yXN2AKQ6qYNd3/view?usp=drive_link" TargetMode="External"/><Relationship Id="rId19" Type="http://schemas.openxmlformats.org/officeDocument/2006/relationships/hyperlink" Target="https://drive.google.com/file/d/15k4dbKI9KIIkpigygPPrpgIQS32JaV0d/view?usp=drive_link" TargetMode="External"/><Relationship Id="rId30" Type="http://schemas.openxmlformats.org/officeDocument/2006/relationships/hyperlink" Target="https://drive.google.com/file/d/1iDR5R9Qzn4M7rsdT-JPVEcRHklC5qk-n/view?usp=drive_link" TargetMode="External"/><Relationship Id="rId105" Type="http://schemas.openxmlformats.org/officeDocument/2006/relationships/hyperlink" Target="https://drive.google.com/file/d/1sVrnoXKQumFE_zRqoh7M8cUx572F1NJW/view?usp=drive_link" TargetMode="External"/><Relationship Id="rId126" Type="http://schemas.openxmlformats.org/officeDocument/2006/relationships/hyperlink" Target="https://drive.google.com/file/d/1MXmunz99vH1nLzvfVHrYbZErMROcY4Tx/view?usp=drive_link" TargetMode="External"/><Relationship Id="rId147" Type="http://schemas.openxmlformats.org/officeDocument/2006/relationships/hyperlink" Target="https://drive.google.com/file/d/1toDvckPd6mD0XgpUojLM4LTX0WmQl9hJ/view?usp=drive_link" TargetMode="External"/><Relationship Id="rId168" Type="http://schemas.openxmlformats.org/officeDocument/2006/relationships/hyperlink" Target="https://drive.google.com/file/d/1kIJys-gesKfYpMrpXyrFzBcFatAhi3c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5F56-11D4-4AE6-9B84-48A9B349E2D5}">
  <dimension ref="A1:K952"/>
  <sheetViews>
    <sheetView tabSelected="1" zoomScaleNormal="82" workbookViewId="0">
      <pane ySplit="1" topLeftCell="A233" activePane="bottomLeft" state="frozen"/>
      <selection pane="bottomLeft" activeCell="E247" sqref="E247"/>
    </sheetView>
  </sheetViews>
  <sheetFormatPr defaultRowHeight="14.5" x14ac:dyDescent="0.35"/>
  <cols>
    <col min="1" max="1" width="6.453125" style="1" customWidth="1"/>
    <col min="2" max="2" width="13.453125" style="2" customWidth="1"/>
    <col min="3" max="3" width="20.54296875" style="2" customWidth="1"/>
    <col min="4" max="4" width="17.81640625" style="2" customWidth="1"/>
    <col min="5" max="5" width="17.7265625" style="2" customWidth="1"/>
    <col min="6" max="6" width="22.81640625" style="2" customWidth="1"/>
    <col min="7" max="7" width="19.81640625" style="2" customWidth="1"/>
    <col min="8" max="8" width="23.453125" style="2" customWidth="1"/>
    <col min="9" max="9" width="30.1796875" customWidth="1"/>
    <col min="10" max="10" width="19.81640625" customWidth="1"/>
    <col min="11" max="11" width="22.1796875" customWidth="1"/>
  </cols>
  <sheetData>
    <row r="1" spans="1:11" ht="28.5" customHeight="1" x14ac:dyDescent="0.35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75" t="s">
        <v>5</v>
      </c>
      <c r="G1" s="75" t="s">
        <v>6</v>
      </c>
      <c r="H1" s="75" t="s">
        <v>7</v>
      </c>
      <c r="I1" s="133" t="s">
        <v>8</v>
      </c>
      <c r="J1" s="76" t="s">
        <v>9</v>
      </c>
      <c r="K1" s="77" t="s">
        <v>10</v>
      </c>
    </row>
    <row r="2" spans="1:11" x14ac:dyDescent="0.35">
      <c r="A2" s="1">
        <v>1</v>
      </c>
      <c r="B2" s="78" t="s">
        <v>11</v>
      </c>
      <c r="C2" s="78" t="s">
        <v>12</v>
      </c>
      <c r="D2" s="79" t="s">
        <v>13</v>
      </c>
      <c r="E2" s="4" t="s">
        <v>14</v>
      </c>
      <c r="F2" s="5" t="s">
        <v>15</v>
      </c>
      <c r="G2" s="5">
        <v>10</v>
      </c>
      <c r="H2" s="5">
        <v>10.39</v>
      </c>
      <c r="I2" s="38" t="s">
        <v>16</v>
      </c>
      <c r="J2" s="39" t="s">
        <v>17</v>
      </c>
      <c r="K2" s="39"/>
    </row>
    <row r="3" spans="1:11" x14ac:dyDescent="0.35">
      <c r="A3" s="1">
        <v>2</v>
      </c>
      <c r="B3" s="78"/>
      <c r="C3" s="78"/>
      <c r="D3" s="79"/>
      <c r="E3" s="4" t="s">
        <v>18</v>
      </c>
      <c r="F3" s="5" t="s">
        <v>19</v>
      </c>
      <c r="G3" s="5">
        <v>10</v>
      </c>
      <c r="H3" s="5">
        <v>9.86</v>
      </c>
      <c r="I3" s="38" t="s">
        <v>20</v>
      </c>
      <c r="J3" s="39" t="s">
        <v>17</v>
      </c>
      <c r="K3" s="39"/>
    </row>
    <row r="4" spans="1:11" x14ac:dyDescent="0.35">
      <c r="A4" s="1">
        <v>3</v>
      </c>
      <c r="B4" s="78"/>
      <c r="C4" s="78"/>
      <c r="D4" s="78" t="s">
        <v>21</v>
      </c>
      <c r="E4" s="4" t="s">
        <v>22</v>
      </c>
      <c r="F4" s="5" t="s">
        <v>23</v>
      </c>
      <c r="G4" s="5">
        <v>10</v>
      </c>
      <c r="H4" s="5">
        <v>10.32</v>
      </c>
      <c r="I4" s="40" t="s">
        <v>24</v>
      </c>
      <c r="J4" s="39" t="s">
        <v>17</v>
      </c>
      <c r="K4" s="39"/>
    </row>
    <row r="5" spans="1:11" x14ac:dyDescent="0.35">
      <c r="A5" s="1">
        <v>4</v>
      </c>
      <c r="B5" s="78"/>
      <c r="C5" s="78"/>
      <c r="D5" s="78"/>
      <c r="E5" s="4" t="s">
        <v>25</v>
      </c>
      <c r="F5" s="5" t="s">
        <v>26</v>
      </c>
      <c r="G5" s="5">
        <v>10</v>
      </c>
      <c r="H5" s="94" t="s">
        <v>27</v>
      </c>
      <c r="I5" s="39"/>
      <c r="J5" s="39"/>
      <c r="K5" s="39"/>
    </row>
    <row r="6" spans="1:11" x14ac:dyDescent="0.35">
      <c r="A6" s="1">
        <v>5</v>
      </c>
      <c r="B6" s="78"/>
      <c r="C6" s="78"/>
      <c r="D6" s="78"/>
      <c r="E6" s="4" t="s">
        <v>28</v>
      </c>
      <c r="F6" s="5" t="s">
        <v>29</v>
      </c>
      <c r="G6" s="5">
        <v>10</v>
      </c>
      <c r="H6" s="94"/>
      <c r="I6" s="39"/>
      <c r="J6" s="39"/>
      <c r="K6" s="39"/>
    </row>
    <row r="7" spans="1:11" x14ac:dyDescent="0.35">
      <c r="A7" s="6"/>
      <c r="B7" s="78"/>
      <c r="C7" s="89" t="s">
        <v>30</v>
      </c>
      <c r="D7" s="89"/>
      <c r="E7" s="89"/>
      <c r="F7" s="15"/>
      <c r="G7" s="36">
        <f>SUM(G2:G6)</f>
        <v>50</v>
      </c>
      <c r="H7" s="16"/>
      <c r="I7" s="39"/>
      <c r="J7" s="39"/>
      <c r="K7" s="39"/>
    </row>
    <row r="8" spans="1:11" x14ac:dyDescent="0.35">
      <c r="A8" s="1">
        <v>6</v>
      </c>
      <c r="B8" s="78"/>
      <c r="C8" s="78" t="s">
        <v>31</v>
      </c>
      <c r="D8" s="78" t="s">
        <v>31</v>
      </c>
      <c r="E8" s="3" t="s">
        <v>31</v>
      </c>
      <c r="F8" s="5" t="s">
        <v>32</v>
      </c>
      <c r="G8" s="5">
        <v>10</v>
      </c>
      <c r="H8" s="5">
        <v>20.39</v>
      </c>
      <c r="I8" s="38" t="s">
        <v>33</v>
      </c>
      <c r="J8" s="39" t="s">
        <v>34</v>
      </c>
      <c r="K8" s="39" t="s">
        <v>35</v>
      </c>
    </row>
    <row r="9" spans="1:11" x14ac:dyDescent="0.35">
      <c r="A9" s="1">
        <v>7</v>
      </c>
      <c r="B9" s="78"/>
      <c r="C9" s="78"/>
      <c r="D9" s="78"/>
      <c r="E9" s="78" t="s">
        <v>36</v>
      </c>
      <c r="F9" s="5" t="s">
        <v>37</v>
      </c>
      <c r="G9" s="5">
        <v>10</v>
      </c>
      <c r="H9" s="5">
        <v>12.19</v>
      </c>
      <c r="I9" s="41" t="s">
        <v>38</v>
      </c>
      <c r="J9" s="39" t="s">
        <v>17</v>
      </c>
      <c r="K9" s="39"/>
    </row>
    <row r="10" spans="1:11" x14ac:dyDescent="0.35">
      <c r="A10" s="1">
        <v>8</v>
      </c>
      <c r="B10" s="78"/>
      <c r="C10" s="78"/>
      <c r="D10" s="78"/>
      <c r="E10" s="78"/>
      <c r="F10" s="5" t="s">
        <v>39</v>
      </c>
      <c r="G10" s="5">
        <v>10</v>
      </c>
      <c r="H10" s="5">
        <v>11.05</v>
      </c>
      <c r="I10" s="41" t="s">
        <v>40</v>
      </c>
      <c r="J10" s="39" t="s">
        <v>17</v>
      </c>
      <c r="K10" s="39"/>
    </row>
    <row r="11" spans="1:11" x14ac:dyDescent="0.35">
      <c r="A11" s="1">
        <v>9</v>
      </c>
      <c r="B11" s="78"/>
      <c r="C11" s="78"/>
      <c r="D11" s="78"/>
      <c r="E11" s="3" t="s">
        <v>41</v>
      </c>
      <c r="F11" s="5" t="s">
        <v>42</v>
      </c>
      <c r="G11" s="5">
        <v>10</v>
      </c>
      <c r="H11" s="5">
        <v>10.75</v>
      </c>
      <c r="I11" s="41" t="s">
        <v>43</v>
      </c>
      <c r="J11" s="39" t="s">
        <v>17</v>
      </c>
      <c r="K11" s="39"/>
    </row>
    <row r="12" spans="1:11" x14ac:dyDescent="0.35">
      <c r="A12" s="1">
        <v>10</v>
      </c>
      <c r="B12" s="78"/>
      <c r="C12" s="78"/>
      <c r="D12" s="78"/>
      <c r="E12" s="3" t="s">
        <v>44</v>
      </c>
      <c r="F12" s="5" t="s">
        <v>45</v>
      </c>
      <c r="G12" s="5">
        <v>10</v>
      </c>
      <c r="H12" s="5">
        <v>10.039999999999999</v>
      </c>
      <c r="I12" s="38" t="s">
        <v>46</v>
      </c>
      <c r="J12" s="39" t="s">
        <v>17</v>
      </c>
      <c r="K12" s="39"/>
    </row>
    <row r="13" spans="1:11" x14ac:dyDescent="0.35">
      <c r="A13" s="1">
        <v>11</v>
      </c>
      <c r="B13" s="78"/>
      <c r="C13" s="78"/>
      <c r="D13" s="4" t="s">
        <v>47</v>
      </c>
      <c r="E13" s="4" t="s">
        <v>48</v>
      </c>
      <c r="F13" s="5" t="s">
        <v>49</v>
      </c>
      <c r="G13" s="5">
        <v>10</v>
      </c>
      <c r="H13" s="5">
        <v>10.58</v>
      </c>
      <c r="I13" s="41" t="s">
        <v>50</v>
      </c>
      <c r="J13" s="39"/>
      <c r="K13" s="39"/>
    </row>
    <row r="14" spans="1:11" x14ac:dyDescent="0.35">
      <c r="A14" s="1">
        <v>12</v>
      </c>
      <c r="B14" s="78"/>
      <c r="C14" s="78"/>
      <c r="D14" s="78" t="s">
        <v>51</v>
      </c>
      <c r="E14" s="4" t="s">
        <v>52</v>
      </c>
      <c r="F14" s="5" t="s">
        <v>53</v>
      </c>
      <c r="G14" s="5">
        <v>20</v>
      </c>
      <c r="H14" s="5">
        <v>22.56</v>
      </c>
      <c r="I14" s="41" t="s">
        <v>54</v>
      </c>
      <c r="J14" s="39"/>
      <c r="K14" s="39"/>
    </row>
    <row r="15" spans="1:11" x14ac:dyDescent="0.35">
      <c r="A15" s="1">
        <v>13</v>
      </c>
      <c r="B15" s="78"/>
      <c r="C15" s="78"/>
      <c r="D15" s="78"/>
      <c r="E15" s="4" t="s">
        <v>55</v>
      </c>
      <c r="F15" s="5" t="s">
        <v>56</v>
      </c>
      <c r="G15" s="5">
        <v>10</v>
      </c>
      <c r="H15" s="5">
        <v>12.07</v>
      </c>
      <c r="I15" s="41" t="s">
        <v>57</v>
      </c>
      <c r="J15" s="39"/>
      <c r="K15" s="39"/>
    </row>
    <row r="16" spans="1:11" x14ac:dyDescent="0.35">
      <c r="A16" s="1">
        <v>14</v>
      </c>
      <c r="B16" s="78"/>
      <c r="C16" s="78"/>
      <c r="D16" s="78"/>
      <c r="E16" s="4" t="s">
        <v>58</v>
      </c>
      <c r="F16" s="5" t="s">
        <v>59</v>
      </c>
      <c r="G16" s="5">
        <v>10</v>
      </c>
      <c r="H16" s="5">
        <v>11.52</v>
      </c>
      <c r="I16" s="41" t="s">
        <v>60</v>
      </c>
      <c r="J16" s="39"/>
      <c r="K16" s="39"/>
    </row>
    <row r="17" spans="1:11" x14ac:dyDescent="0.35">
      <c r="A17" s="6"/>
      <c r="B17" s="78"/>
      <c r="C17" s="89" t="s">
        <v>30</v>
      </c>
      <c r="D17" s="89"/>
      <c r="E17" s="89"/>
      <c r="F17" s="15"/>
      <c r="G17" s="17">
        <f>SUM(G8:G16)</f>
        <v>100</v>
      </c>
      <c r="H17" s="17"/>
      <c r="I17" s="39"/>
      <c r="J17" s="39"/>
      <c r="K17" s="39"/>
    </row>
    <row r="18" spans="1:11" x14ac:dyDescent="0.35">
      <c r="A18" s="6"/>
      <c r="B18" s="78"/>
      <c r="C18" s="89" t="s">
        <v>61</v>
      </c>
      <c r="D18" s="89"/>
      <c r="E18" s="89"/>
      <c r="F18" s="15"/>
      <c r="G18" s="17">
        <f>G17+G7</f>
        <v>150</v>
      </c>
      <c r="H18" s="18"/>
      <c r="I18" s="39"/>
      <c r="J18" s="39"/>
      <c r="K18" s="39"/>
    </row>
    <row r="19" spans="1:11" x14ac:dyDescent="0.35">
      <c r="A19" s="1">
        <v>15</v>
      </c>
      <c r="B19" s="78"/>
      <c r="C19" s="4" t="s">
        <v>12</v>
      </c>
      <c r="D19" s="4" t="s">
        <v>21</v>
      </c>
      <c r="E19" s="4" t="s">
        <v>21</v>
      </c>
      <c r="F19" s="5" t="s">
        <v>62</v>
      </c>
      <c r="G19" s="5">
        <v>10</v>
      </c>
      <c r="H19" s="19">
        <v>9.99</v>
      </c>
      <c r="I19" s="38" t="s">
        <v>63</v>
      </c>
      <c r="J19" s="39"/>
      <c r="K19" s="39"/>
    </row>
    <row r="20" spans="1:11" x14ac:dyDescent="0.35">
      <c r="A20" s="7"/>
      <c r="B20" s="78"/>
      <c r="C20" s="89" t="s">
        <v>64</v>
      </c>
      <c r="D20" s="89"/>
      <c r="E20" s="89"/>
      <c r="F20" s="15"/>
      <c r="G20" s="17">
        <f>SUM(G19)</f>
        <v>10</v>
      </c>
      <c r="H20" s="15"/>
      <c r="I20" s="41"/>
      <c r="J20" s="39"/>
      <c r="K20" s="39"/>
    </row>
    <row r="21" spans="1:11" x14ac:dyDescent="0.35">
      <c r="A21" s="1">
        <v>16</v>
      </c>
      <c r="B21" s="78"/>
      <c r="C21" s="78" t="s">
        <v>31</v>
      </c>
      <c r="D21" s="4" t="s">
        <v>31</v>
      </c>
      <c r="E21" s="4" t="s">
        <v>36</v>
      </c>
      <c r="F21" s="5" t="s">
        <v>65</v>
      </c>
      <c r="G21" s="5">
        <v>10</v>
      </c>
      <c r="H21" s="5">
        <v>12.35</v>
      </c>
      <c r="I21" s="41" t="s">
        <v>66</v>
      </c>
      <c r="J21" s="39"/>
      <c r="K21" s="39"/>
    </row>
    <row r="22" spans="1:11" x14ac:dyDescent="0.35">
      <c r="A22" s="1">
        <v>17</v>
      </c>
      <c r="B22" s="78"/>
      <c r="C22" s="78"/>
      <c r="D22" s="84" t="s">
        <v>47</v>
      </c>
      <c r="E22" s="4" t="s">
        <v>48</v>
      </c>
      <c r="F22" s="5" t="s">
        <v>49</v>
      </c>
      <c r="G22" s="5">
        <v>10</v>
      </c>
      <c r="H22" s="5">
        <v>11</v>
      </c>
      <c r="I22" s="41" t="s">
        <v>67</v>
      </c>
      <c r="J22" s="39"/>
      <c r="K22" s="39"/>
    </row>
    <row r="23" spans="1:11" x14ac:dyDescent="0.35">
      <c r="A23" s="1">
        <v>18</v>
      </c>
      <c r="B23" s="78"/>
      <c r="C23" s="78"/>
      <c r="D23" s="84"/>
      <c r="E23" s="4" t="s">
        <v>52</v>
      </c>
      <c r="F23" s="5" t="s">
        <v>53</v>
      </c>
      <c r="G23" s="5">
        <v>10</v>
      </c>
      <c r="H23" s="5">
        <v>10.88</v>
      </c>
      <c r="I23" s="41" t="s">
        <v>68</v>
      </c>
      <c r="J23" s="39"/>
      <c r="K23" s="39"/>
    </row>
    <row r="24" spans="1:11" x14ac:dyDescent="0.35">
      <c r="A24" s="1">
        <v>19</v>
      </c>
      <c r="B24" s="78"/>
      <c r="C24" s="78"/>
      <c r="D24" s="84"/>
      <c r="E24" s="4" t="s">
        <v>55</v>
      </c>
      <c r="F24" s="5" t="s">
        <v>56</v>
      </c>
      <c r="G24" s="5">
        <v>10</v>
      </c>
      <c r="H24" s="5">
        <v>11.54</v>
      </c>
      <c r="I24" s="41" t="s">
        <v>69</v>
      </c>
      <c r="J24" s="39"/>
      <c r="K24" s="39"/>
    </row>
    <row r="25" spans="1:11" x14ac:dyDescent="0.35">
      <c r="A25" s="7"/>
      <c r="B25" s="8"/>
      <c r="C25" s="89" t="s">
        <v>64</v>
      </c>
      <c r="D25" s="89"/>
      <c r="E25" s="89"/>
      <c r="F25" s="15"/>
      <c r="G25" s="17">
        <f>SUM(G21:G24)</f>
        <v>40</v>
      </c>
      <c r="H25" s="17"/>
      <c r="I25" s="95"/>
      <c r="J25" s="39"/>
      <c r="K25" s="39"/>
    </row>
    <row r="26" spans="1:11" x14ac:dyDescent="0.35">
      <c r="A26" s="7"/>
      <c r="B26" s="8"/>
      <c r="C26" s="89" t="s">
        <v>70</v>
      </c>
      <c r="D26" s="89"/>
      <c r="E26" s="89"/>
      <c r="F26" s="15"/>
      <c r="G26" s="17">
        <f>G20+G25</f>
        <v>50</v>
      </c>
      <c r="H26" s="17"/>
      <c r="I26" s="95"/>
      <c r="J26" s="39"/>
      <c r="K26" s="39"/>
    </row>
    <row r="27" spans="1:11" x14ac:dyDescent="0.35">
      <c r="A27" s="7"/>
      <c r="B27" s="8"/>
      <c r="C27" s="90" t="s">
        <v>71</v>
      </c>
      <c r="D27" s="90"/>
      <c r="E27" s="90"/>
      <c r="F27" s="15"/>
      <c r="G27" s="37">
        <f>G18+G26</f>
        <v>200</v>
      </c>
      <c r="H27" s="18"/>
      <c r="I27" s="95"/>
      <c r="J27" s="39"/>
      <c r="K27" s="39"/>
    </row>
    <row r="28" spans="1:11" x14ac:dyDescent="0.35">
      <c r="A28" s="1">
        <v>20</v>
      </c>
      <c r="B28" s="78" t="s">
        <v>72</v>
      </c>
      <c r="C28" s="4" t="s">
        <v>73</v>
      </c>
      <c r="D28" s="4" t="s">
        <v>73</v>
      </c>
      <c r="E28" s="4" t="s">
        <v>74</v>
      </c>
      <c r="F28" s="5" t="s">
        <v>75</v>
      </c>
      <c r="G28" s="5">
        <v>5</v>
      </c>
      <c r="H28" s="5">
        <v>5.13</v>
      </c>
      <c r="I28" s="41" t="s">
        <v>76</v>
      </c>
      <c r="J28" s="39"/>
      <c r="K28" s="39"/>
    </row>
    <row r="29" spans="1:11" x14ac:dyDescent="0.35">
      <c r="A29" s="1">
        <v>21</v>
      </c>
      <c r="B29" s="78"/>
      <c r="C29" s="4" t="s">
        <v>73</v>
      </c>
      <c r="D29" s="4" t="s">
        <v>73</v>
      </c>
      <c r="E29" s="4" t="s">
        <v>74</v>
      </c>
      <c r="F29" s="5" t="s">
        <v>77</v>
      </c>
      <c r="G29" s="5">
        <v>5</v>
      </c>
      <c r="H29" s="5">
        <v>5.12</v>
      </c>
      <c r="I29" s="41" t="s">
        <v>78</v>
      </c>
      <c r="J29" s="39"/>
      <c r="K29" s="39"/>
    </row>
    <row r="30" spans="1:11" x14ac:dyDescent="0.35">
      <c r="A30" s="1">
        <v>22</v>
      </c>
      <c r="B30" s="78"/>
      <c r="C30" s="4" t="s">
        <v>73</v>
      </c>
      <c r="D30" s="4" t="s">
        <v>73</v>
      </c>
      <c r="E30" s="4" t="s">
        <v>79</v>
      </c>
      <c r="F30" s="5" t="s">
        <v>80</v>
      </c>
      <c r="G30" s="5">
        <v>15</v>
      </c>
      <c r="H30" s="5">
        <v>15.16</v>
      </c>
      <c r="I30" s="38" t="s">
        <v>81</v>
      </c>
      <c r="J30" s="39"/>
      <c r="K30" s="39"/>
    </row>
    <row r="31" spans="1:11" x14ac:dyDescent="0.35">
      <c r="A31" s="1">
        <v>23</v>
      </c>
      <c r="B31" s="78"/>
      <c r="C31" s="4" t="s">
        <v>73</v>
      </c>
      <c r="D31" s="4" t="s">
        <v>73</v>
      </c>
      <c r="E31" s="4" t="s">
        <v>73</v>
      </c>
      <c r="F31" s="5" t="s">
        <v>82</v>
      </c>
      <c r="G31" s="5">
        <v>5</v>
      </c>
      <c r="H31" s="5">
        <v>5.56</v>
      </c>
      <c r="I31" s="38" t="s">
        <v>83</v>
      </c>
      <c r="J31" s="39"/>
      <c r="K31" s="39"/>
    </row>
    <row r="32" spans="1:11" x14ac:dyDescent="0.35">
      <c r="A32" s="1">
        <v>24</v>
      </c>
      <c r="B32" s="78"/>
      <c r="C32" s="4" t="s">
        <v>73</v>
      </c>
      <c r="D32" s="4" t="s">
        <v>73</v>
      </c>
      <c r="E32" s="4" t="s">
        <v>84</v>
      </c>
      <c r="F32" s="43" t="s">
        <v>85</v>
      </c>
      <c r="G32" s="43">
        <v>5</v>
      </c>
      <c r="H32" s="43">
        <v>5.51</v>
      </c>
      <c r="I32" s="38" t="s">
        <v>86</v>
      </c>
      <c r="J32" s="39"/>
      <c r="K32" s="39"/>
    </row>
    <row r="33" spans="1:11" x14ac:dyDescent="0.35">
      <c r="B33" s="78"/>
      <c r="C33" s="80" t="s">
        <v>73</v>
      </c>
      <c r="D33" s="80" t="s">
        <v>73</v>
      </c>
      <c r="E33" s="80" t="s">
        <v>84</v>
      </c>
      <c r="F33" s="92" t="s">
        <v>87</v>
      </c>
      <c r="G33" s="92">
        <v>10</v>
      </c>
      <c r="H33" s="5">
        <v>5.25</v>
      </c>
      <c r="I33" s="38" t="s">
        <v>88</v>
      </c>
      <c r="J33" s="39"/>
      <c r="K33" s="39"/>
    </row>
    <row r="34" spans="1:11" x14ac:dyDescent="0.35">
      <c r="A34" s="1">
        <v>25</v>
      </c>
      <c r="B34" s="78"/>
      <c r="C34" s="81"/>
      <c r="D34" s="81"/>
      <c r="E34" s="81"/>
      <c r="F34" s="93"/>
      <c r="G34" s="93"/>
      <c r="H34" s="5">
        <v>5.45</v>
      </c>
      <c r="I34" s="38" t="s">
        <v>89</v>
      </c>
      <c r="J34" s="39"/>
      <c r="K34" s="39"/>
    </row>
    <row r="35" spans="1:11" x14ac:dyDescent="0.35">
      <c r="A35" s="1">
        <v>26</v>
      </c>
      <c r="B35" s="78"/>
      <c r="C35" s="4" t="s">
        <v>73</v>
      </c>
      <c r="D35" s="4" t="s">
        <v>73</v>
      </c>
      <c r="E35" s="4" t="s">
        <v>84</v>
      </c>
      <c r="F35" s="5" t="s">
        <v>90</v>
      </c>
      <c r="G35" s="5">
        <v>5</v>
      </c>
      <c r="H35" s="5">
        <v>5.51</v>
      </c>
      <c r="I35" s="38" t="s">
        <v>86</v>
      </c>
      <c r="J35" s="39"/>
      <c r="K35" s="39"/>
    </row>
    <row r="36" spans="1:11" x14ac:dyDescent="0.35">
      <c r="A36" s="1">
        <v>27</v>
      </c>
      <c r="B36" s="78"/>
      <c r="C36" s="4" t="s">
        <v>73</v>
      </c>
      <c r="D36" s="4" t="s">
        <v>73</v>
      </c>
      <c r="E36" s="4" t="s">
        <v>91</v>
      </c>
      <c r="F36" s="5" t="s">
        <v>92</v>
      </c>
      <c r="G36" s="5">
        <v>5</v>
      </c>
      <c r="H36" s="5">
        <v>5.39</v>
      </c>
      <c r="I36" s="38" t="s">
        <v>93</v>
      </c>
      <c r="J36" s="39"/>
      <c r="K36" s="39"/>
    </row>
    <row r="37" spans="1:11" x14ac:dyDescent="0.35">
      <c r="A37" s="1">
        <v>28</v>
      </c>
      <c r="B37" s="78"/>
      <c r="C37" s="4" t="s">
        <v>73</v>
      </c>
      <c r="D37" s="4" t="s">
        <v>73</v>
      </c>
      <c r="E37" s="4" t="s">
        <v>91</v>
      </c>
      <c r="F37" s="5" t="s">
        <v>94</v>
      </c>
      <c r="G37" s="5">
        <v>5</v>
      </c>
      <c r="H37" s="5">
        <v>5.4</v>
      </c>
      <c r="I37" s="38" t="s">
        <v>95</v>
      </c>
      <c r="J37" s="39"/>
      <c r="K37" s="39"/>
    </row>
    <row r="38" spans="1:11" x14ac:dyDescent="0.35">
      <c r="A38" s="1">
        <v>29</v>
      </c>
      <c r="B38" s="78"/>
      <c r="C38" s="4" t="s">
        <v>73</v>
      </c>
      <c r="D38" s="4" t="s">
        <v>96</v>
      </c>
      <c r="E38" s="4" t="s">
        <v>97</v>
      </c>
      <c r="F38" s="5" t="s">
        <v>98</v>
      </c>
      <c r="G38" s="5">
        <v>10</v>
      </c>
      <c r="H38" s="5">
        <v>10.220000000000001</v>
      </c>
      <c r="I38" s="38" t="s">
        <v>99</v>
      </c>
      <c r="J38" s="39"/>
      <c r="K38" s="39"/>
    </row>
    <row r="39" spans="1:11" x14ac:dyDescent="0.35">
      <c r="A39" s="1">
        <v>30</v>
      </c>
      <c r="B39" s="78"/>
      <c r="C39" s="4" t="s">
        <v>73</v>
      </c>
      <c r="D39" s="4" t="s">
        <v>96</v>
      </c>
      <c r="E39" s="4" t="s">
        <v>100</v>
      </c>
      <c r="F39" s="5" t="s">
        <v>101</v>
      </c>
      <c r="G39" s="5">
        <v>10</v>
      </c>
      <c r="H39" s="5">
        <v>10.81</v>
      </c>
      <c r="I39" s="38" t="s">
        <v>102</v>
      </c>
      <c r="J39" s="39"/>
      <c r="K39" s="39"/>
    </row>
    <row r="40" spans="1:11" x14ac:dyDescent="0.35">
      <c r="A40" s="1">
        <v>31</v>
      </c>
      <c r="B40" s="78"/>
      <c r="C40" s="4" t="s">
        <v>73</v>
      </c>
      <c r="D40" s="4" t="s">
        <v>96</v>
      </c>
      <c r="E40" s="4" t="s">
        <v>100</v>
      </c>
      <c r="F40" s="5" t="s">
        <v>103</v>
      </c>
      <c r="G40" s="5">
        <v>10</v>
      </c>
      <c r="H40" s="5">
        <v>10.33</v>
      </c>
      <c r="I40" s="38" t="s">
        <v>104</v>
      </c>
      <c r="J40" s="39"/>
      <c r="K40" s="39"/>
    </row>
    <row r="41" spans="1:11" x14ac:dyDescent="0.35">
      <c r="A41" s="1">
        <v>32</v>
      </c>
      <c r="B41" s="78"/>
      <c r="C41" s="4" t="s">
        <v>73</v>
      </c>
      <c r="D41" s="4" t="s">
        <v>96</v>
      </c>
      <c r="E41" s="4" t="s">
        <v>105</v>
      </c>
      <c r="F41" s="5" t="s">
        <v>106</v>
      </c>
      <c r="G41" s="5">
        <v>10</v>
      </c>
      <c r="H41" s="5">
        <v>10.27</v>
      </c>
      <c r="I41" s="38" t="s">
        <v>107</v>
      </c>
      <c r="J41" s="39"/>
      <c r="K41" s="39"/>
    </row>
    <row r="42" spans="1:11" x14ac:dyDescent="0.35">
      <c r="B42" s="78"/>
      <c r="C42" s="80" t="s">
        <v>73</v>
      </c>
      <c r="D42" s="80" t="s">
        <v>96</v>
      </c>
      <c r="E42" s="80" t="s">
        <v>105</v>
      </c>
      <c r="F42" s="92" t="s">
        <v>108</v>
      </c>
      <c r="G42" s="92">
        <v>10</v>
      </c>
      <c r="H42" s="5">
        <v>5.77</v>
      </c>
      <c r="I42" s="38" t="s">
        <v>109</v>
      </c>
      <c r="J42" s="39"/>
      <c r="K42" s="39"/>
    </row>
    <row r="43" spans="1:11" x14ac:dyDescent="0.35">
      <c r="A43" s="1">
        <v>33</v>
      </c>
      <c r="B43" s="78"/>
      <c r="C43" s="81"/>
      <c r="D43" s="81"/>
      <c r="E43" s="81"/>
      <c r="F43" s="93"/>
      <c r="G43" s="93"/>
      <c r="H43" s="5">
        <v>4.5199999999999996</v>
      </c>
      <c r="I43" s="38" t="s">
        <v>110</v>
      </c>
      <c r="J43" s="39"/>
      <c r="K43" s="39"/>
    </row>
    <row r="44" spans="1:11" x14ac:dyDescent="0.35">
      <c r="A44" s="1">
        <v>34</v>
      </c>
      <c r="B44" s="78"/>
      <c r="C44" s="4" t="s">
        <v>73</v>
      </c>
      <c r="D44" s="4" t="s">
        <v>96</v>
      </c>
      <c r="E44" s="4" t="s">
        <v>111</v>
      </c>
      <c r="F44" s="5" t="s">
        <v>112</v>
      </c>
      <c r="G44" s="5">
        <v>10</v>
      </c>
      <c r="H44" s="5">
        <v>10.44</v>
      </c>
      <c r="I44" s="38" t="s">
        <v>113</v>
      </c>
      <c r="J44" s="39"/>
      <c r="K44" s="39"/>
    </row>
    <row r="45" spans="1:11" x14ac:dyDescent="0.35">
      <c r="A45" s="1">
        <v>35</v>
      </c>
      <c r="B45" s="78"/>
      <c r="C45" s="4" t="s">
        <v>73</v>
      </c>
      <c r="D45" s="4" t="s">
        <v>96</v>
      </c>
      <c r="E45" s="4" t="s">
        <v>111</v>
      </c>
      <c r="F45" s="5" t="s">
        <v>114</v>
      </c>
      <c r="G45" s="5">
        <v>10</v>
      </c>
      <c r="H45" s="5">
        <v>10.19</v>
      </c>
      <c r="I45" s="38" t="s">
        <v>115</v>
      </c>
      <c r="J45" s="39"/>
      <c r="K45" s="39"/>
    </row>
    <row r="46" spans="1:11" x14ac:dyDescent="0.35">
      <c r="A46" s="1">
        <v>36</v>
      </c>
      <c r="B46" s="78"/>
      <c r="C46" s="4" t="s">
        <v>73</v>
      </c>
      <c r="D46" s="4" t="s">
        <v>96</v>
      </c>
      <c r="E46" s="4" t="s">
        <v>116</v>
      </c>
      <c r="F46" s="5" t="s">
        <v>117</v>
      </c>
      <c r="G46" s="5">
        <v>20</v>
      </c>
      <c r="H46" s="5">
        <v>20.55</v>
      </c>
      <c r="I46" s="38" t="s">
        <v>118</v>
      </c>
      <c r="J46" s="39"/>
      <c r="K46" s="39"/>
    </row>
    <row r="47" spans="1:11" x14ac:dyDescent="0.35">
      <c r="A47" s="1">
        <v>37</v>
      </c>
      <c r="B47" s="78"/>
      <c r="C47" s="4" t="s">
        <v>73</v>
      </c>
      <c r="D47" s="4" t="s">
        <v>96</v>
      </c>
      <c r="E47" s="4" t="s">
        <v>96</v>
      </c>
      <c r="F47" s="5" t="s">
        <v>119</v>
      </c>
      <c r="G47" s="5">
        <v>10</v>
      </c>
      <c r="H47" s="5">
        <v>11.74</v>
      </c>
      <c r="I47" s="38" t="s">
        <v>120</v>
      </c>
      <c r="J47" s="39"/>
      <c r="K47" s="39"/>
    </row>
    <row r="48" spans="1:11" x14ac:dyDescent="0.35">
      <c r="B48" s="4"/>
      <c r="C48" s="82" t="s">
        <v>121</v>
      </c>
      <c r="D48" s="82" t="s">
        <v>122</v>
      </c>
      <c r="E48" s="82" t="s">
        <v>123</v>
      </c>
      <c r="F48" s="92" t="s">
        <v>124</v>
      </c>
      <c r="G48" s="92">
        <v>5</v>
      </c>
      <c r="H48" s="5">
        <v>0.88</v>
      </c>
      <c r="I48" s="38" t="s">
        <v>125</v>
      </c>
      <c r="J48" s="39"/>
      <c r="K48" s="39"/>
    </row>
    <row r="49" spans="1:11" x14ac:dyDescent="0.35">
      <c r="A49" s="1">
        <v>38</v>
      </c>
      <c r="B49" s="78" t="s">
        <v>72</v>
      </c>
      <c r="C49" s="83"/>
      <c r="D49" s="83"/>
      <c r="E49" s="83"/>
      <c r="F49" s="93"/>
      <c r="G49" s="93"/>
      <c r="H49" s="5">
        <v>4.5</v>
      </c>
      <c r="I49" s="38" t="s">
        <v>126</v>
      </c>
      <c r="J49" s="39"/>
      <c r="K49" s="39"/>
    </row>
    <row r="50" spans="1:11" x14ac:dyDescent="0.35">
      <c r="A50" s="1">
        <v>39</v>
      </c>
      <c r="B50" s="78"/>
      <c r="C50" s="4" t="s">
        <v>121</v>
      </c>
      <c r="D50" s="4" t="s">
        <v>122</v>
      </c>
      <c r="E50" s="4" t="s">
        <v>123</v>
      </c>
      <c r="F50" s="5" t="s">
        <v>127</v>
      </c>
      <c r="G50" s="5">
        <v>10</v>
      </c>
      <c r="H50" s="5">
        <v>10.39</v>
      </c>
      <c r="I50" s="38" t="s">
        <v>128</v>
      </c>
      <c r="J50" s="39"/>
      <c r="K50" s="39"/>
    </row>
    <row r="51" spans="1:11" x14ac:dyDescent="0.35">
      <c r="A51" s="1">
        <v>40</v>
      </c>
      <c r="B51" s="78"/>
      <c r="C51" s="4" t="s">
        <v>121</v>
      </c>
      <c r="D51" s="4" t="s">
        <v>122</v>
      </c>
      <c r="E51" s="4" t="s">
        <v>123</v>
      </c>
      <c r="F51" s="5" t="s">
        <v>129</v>
      </c>
      <c r="G51" s="5">
        <v>10</v>
      </c>
      <c r="H51" s="5">
        <v>10.39</v>
      </c>
      <c r="I51" s="38" t="s">
        <v>130</v>
      </c>
      <c r="J51" s="39"/>
      <c r="K51" s="39"/>
    </row>
    <row r="52" spans="1:11" x14ac:dyDescent="0.35">
      <c r="A52" s="1">
        <v>41</v>
      </c>
      <c r="B52" s="78"/>
      <c r="C52" s="4" t="s">
        <v>121</v>
      </c>
      <c r="D52" s="4" t="s">
        <v>122</v>
      </c>
      <c r="E52" s="4" t="s">
        <v>131</v>
      </c>
      <c r="F52" s="5" t="s">
        <v>132</v>
      </c>
      <c r="G52" s="5">
        <v>10</v>
      </c>
      <c r="H52" s="5">
        <v>10.42</v>
      </c>
      <c r="I52" s="38" t="s">
        <v>133</v>
      </c>
      <c r="J52" s="39"/>
      <c r="K52" s="39"/>
    </row>
    <row r="53" spans="1:11" x14ac:dyDescent="0.35">
      <c r="A53" s="1">
        <v>42</v>
      </c>
      <c r="B53" s="78"/>
      <c r="C53" s="4" t="s">
        <v>121</v>
      </c>
      <c r="D53" s="4" t="s">
        <v>122</v>
      </c>
      <c r="E53" s="4" t="s">
        <v>131</v>
      </c>
      <c r="F53" s="5" t="s">
        <v>134</v>
      </c>
      <c r="G53" s="5">
        <v>5</v>
      </c>
      <c r="H53" s="5">
        <v>5.3</v>
      </c>
      <c r="I53" s="38" t="s">
        <v>135</v>
      </c>
      <c r="J53" s="39"/>
      <c r="K53" s="39"/>
    </row>
    <row r="54" spans="1:11" x14ac:dyDescent="0.35">
      <c r="A54" s="1">
        <v>43</v>
      </c>
      <c r="B54" s="78"/>
      <c r="C54" s="4" t="s">
        <v>121</v>
      </c>
      <c r="D54" s="4" t="s">
        <v>122</v>
      </c>
      <c r="E54" s="4" t="s">
        <v>131</v>
      </c>
      <c r="F54" s="5" t="s">
        <v>136</v>
      </c>
      <c r="G54" s="5">
        <v>10</v>
      </c>
      <c r="H54" s="5">
        <v>10.49</v>
      </c>
      <c r="I54" s="42" t="s">
        <v>137</v>
      </c>
      <c r="J54" s="39"/>
      <c r="K54" s="39"/>
    </row>
    <row r="55" spans="1:11" x14ac:dyDescent="0.35">
      <c r="A55" s="1">
        <v>44</v>
      </c>
      <c r="B55" s="78"/>
      <c r="C55" s="4" t="s">
        <v>121</v>
      </c>
      <c r="D55" s="4" t="s">
        <v>122</v>
      </c>
      <c r="E55" s="4" t="s">
        <v>131</v>
      </c>
      <c r="F55" s="5" t="s">
        <v>138</v>
      </c>
      <c r="G55" s="5">
        <v>10</v>
      </c>
      <c r="H55" s="5">
        <v>10.24</v>
      </c>
      <c r="I55" s="38" t="s">
        <v>139</v>
      </c>
      <c r="J55" s="39"/>
      <c r="K55" s="39"/>
    </row>
    <row r="56" spans="1:11" x14ac:dyDescent="0.35">
      <c r="A56" s="1">
        <v>45</v>
      </c>
      <c r="B56" s="78"/>
      <c r="C56" s="4" t="s">
        <v>121</v>
      </c>
      <c r="D56" s="4" t="s">
        <v>140</v>
      </c>
      <c r="E56" s="4" t="s">
        <v>131</v>
      </c>
      <c r="F56" s="5" t="s">
        <v>141</v>
      </c>
      <c r="G56" s="5">
        <v>10</v>
      </c>
      <c r="H56" s="5">
        <v>10.39</v>
      </c>
      <c r="I56" s="38" t="s">
        <v>142</v>
      </c>
      <c r="J56" s="39"/>
      <c r="K56" s="39"/>
    </row>
    <row r="57" spans="1:11" x14ac:dyDescent="0.35">
      <c r="A57" s="1">
        <v>46</v>
      </c>
      <c r="B57" s="78"/>
      <c r="C57" s="4" t="s">
        <v>121</v>
      </c>
      <c r="D57" s="4" t="s">
        <v>140</v>
      </c>
      <c r="E57" s="4" t="s">
        <v>143</v>
      </c>
      <c r="F57" s="5" t="s">
        <v>144</v>
      </c>
      <c r="G57" s="5">
        <v>5</v>
      </c>
      <c r="H57" s="5">
        <v>5.62</v>
      </c>
      <c r="I57" s="38" t="s">
        <v>145</v>
      </c>
      <c r="J57" s="39"/>
      <c r="K57" s="39"/>
    </row>
    <row r="58" spans="1:11" x14ac:dyDescent="0.35">
      <c r="A58" s="1">
        <v>47</v>
      </c>
      <c r="B58" s="78"/>
      <c r="C58" s="4" t="s">
        <v>121</v>
      </c>
      <c r="D58" s="4" t="s">
        <v>140</v>
      </c>
      <c r="E58" s="4" t="s">
        <v>143</v>
      </c>
      <c r="F58" s="5" t="s">
        <v>146</v>
      </c>
      <c r="G58" s="5">
        <v>5</v>
      </c>
      <c r="H58" s="5">
        <v>5.23</v>
      </c>
      <c r="I58" s="38" t="s">
        <v>147</v>
      </c>
      <c r="J58" s="39"/>
      <c r="K58" s="39"/>
    </row>
    <row r="59" spans="1:11" x14ac:dyDescent="0.35">
      <c r="A59" s="1">
        <v>48</v>
      </c>
      <c r="B59" s="78"/>
      <c r="C59" s="4" t="s">
        <v>121</v>
      </c>
      <c r="D59" s="4" t="s">
        <v>140</v>
      </c>
      <c r="E59" s="4" t="s">
        <v>140</v>
      </c>
      <c r="F59" s="5" t="s">
        <v>148</v>
      </c>
      <c r="G59" s="5">
        <v>5</v>
      </c>
      <c r="H59" s="5">
        <v>5.04</v>
      </c>
      <c r="I59" s="38" t="s">
        <v>149</v>
      </c>
      <c r="J59" s="39"/>
      <c r="K59" s="39"/>
    </row>
    <row r="60" spans="1:11" x14ac:dyDescent="0.35">
      <c r="A60" s="1">
        <v>49</v>
      </c>
      <c r="B60" s="78"/>
      <c r="C60" s="4" t="s">
        <v>121</v>
      </c>
      <c r="D60" s="4" t="s">
        <v>140</v>
      </c>
      <c r="E60" s="4" t="s">
        <v>150</v>
      </c>
      <c r="F60" s="5" t="s">
        <v>151</v>
      </c>
      <c r="G60" s="5">
        <v>10</v>
      </c>
      <c r="H60" s="5">
        <v>10.28</v>
      </c>
      <c r="I60" s="38" t="s">
        <v>152</v>
      </c>
      <c r="J60" s="39"/>
      <c r="K60" s="39"/>
    </row>
    <row r="61" spans="1:11" x14ac:dyDescent="0.35">
      <c r="A61" s="1">
        <v>50</v>
      </c>
      <c r="B61" s="78"/>
      <c r="C61" s="4" t="s">
        <v>121</v>
      </c>
      <c r="D61" s="4" t="s">
        <v>140</v>
      </c>
      <c r="E61" s="4" t="s">
        <v>153</v>
      </c>
      <c r="F61" s="5" t="s">
        <v>154</v>
      </c>
      <c r="G61" s="5">
        <v>5</v>
      </c>
      <c r="H61" s="5">
        <v>5.34</v>
      </c>
      <c r="I61" s="38" t="s">
        <v>155</v>
      </c>
      <c r="J61" s="39"/>
      <c r="K61" s="39"/>
    </row>
    <row r="62" spans="1:11" x14ac:dyDescent="0.35">
      <c r="A62" s="1">
        <v>51</v>
      </c>
      <c r="B62" s="78"/>
      <c r="C62" s="4" t="s">
        <v>121</v>
      </c>
      <c r="D62" s="4" t="s">
        <v>140</v>
      </c>
      <c r="E62" s="4" t="s">
        <v>153</v>
      </c>
      <c r="F62" s="5" t="s">
        <v>156</v>
      </c>
      <c r="G62" s="5">
        <v>10</v>
      </c>
      <c r="H62" s="5">
        <v>10.220000000000001</v>
      </c>
      <c r="I62" s="38" t="s">
        <v>157</v>
      </c>
      <c r="J62" s="39"/>
      <c r="K62" s="39"/>
    </row>
    <row r="63" spans="1:11" x14ac:dyDescent="0.35">
      <c r="A63" s="1">
        <v>52</v>
      </c>
      <c r="B63" s="78"/>
      <c r="C63" s="4" t="s">
        <v>121</v>
      </c>
      <c r="D63" s="4" t="s">
        <v>140</v>
      </c>
      <c r="E63" s="4" t="s">
        <v>158</v>
      </c>
      <c r="F63" s="5" t="s">
        <v>158</v>
      </c>
      <c r="G63" s="5">
        <v>5</v>
      </c>
      <c r="H63" s="5">
        <v>5.38</v>
      </c>
      <c r="I63" s="38" t="s">
        <v>159</v>
      </c>
      <c r="J63" s="39"/>
      <c r="K63" s="39"/>
    </row>
    <row r="64" spans="1:11" x14ac:dyDescent="0.35">
      <c r="A64" s="1">
        <v>53</v>
      </c>
      <c r="B64" s="78"/>
      <c r="C64" s="4" t="s">
        <v>121</v>
      </c>
      <c r="D64" s="4" t="s">
        <v>140</v>
      </c>
      <c r="E64" s="4" t="s">
        <v>158</v>
      </c>
      <c r="F64" s="5" t="s">
        <v>160</v>
      </c>
      <c r="G64" s="5">
        <v>5</v>
      </c>
      <c r="H64" s="5">
        <v>5.28</v>
      </c>
      <c r="I64" s="38" t="s">
        <v>161</v>
      </c>
      <c r="J64" s="39"/>
      <c r="K64" s="39"/>
    </row>
    <row r="65" spans="1:11" x14ac:dyDescent="0.35">
      <c r="A65" s="1">
        <v>54</v>
      </c>
      <c r="B65" s="78"/>
      <c r="C65" s="4" t="s">
        <v>121</v>
      </c>
      <c r="D65" s="4" t="s">
        <v>121</v>
      </c>
      <c r="E65" s="4" t="s">
        <v>162</v>
      </c>
      <c r="F65" s="5" t="s">
        <v>163</v>
      </c>
      <c r="G65" s="5">
        <v>10</v>
      </c>
      <c r="H65" s="5">
        <v>10.44</v>
      </c>
      <c r="I65" s="38" t="s">
        <v>164</v>
      </c>
      <c r="J65" s="39"/>
      <c r="K65" s="39"/>
    </row>
    <row r="66" spans="1:11" x14ac:dyDescent="0.35">
      <c r="B66" s="78"/>
      <c r="C66" s="82" t="s">
        <v>121</v>
      </c>
      <c r="D66" s="82" t="s">
        <v>121</v>
      </c>
      <c r="E66" s="82" t="s">
        <v>165</v>
      </c>
      <c r="F66" s="92" t="s">
        <v>166</v>
      </c>
      <c r="G66" s="101">
        <v>5</v>
      </c>
      <c r="H66" s="5">
        <v>3.76</v>
      </c>
      <c r="I66" s="38" t="s">
        <v>167</v>
      </c>
      <c r="J66" s="39"/>
      <c r="K66" s="39"/>
    </row>
    <row r="67" spans="1:11" x14ac:dyDescent="0.35">
      <c r="A67" s="1">
        <v>55</v>
      </c>
      <c r="B67" s="78"/>
      <c r="C67" s="83"/>
      <c r="D67" s="83"/>
      <c r="E67" s="83"/>
      <c r="F67" s="93"/>
      <c r="G67" s="102"/>
      <c r="H67" s="5">
        <v>1.03</v>
      </c>
      <c r="I67" s="38" t="s">
        <v>168</v>
      </c>
      <c r="J67" s="39"/>
      <c r="K67" s="39"/>
    </row>
    <row r="68" spans="1:11" x14ac:dyDescent="0.35">
      <c r="A68" s="1">
        <v>56</v>
      </c>
      <c r="B68" s="78"/>
      <c r="C68" s="4" t="s">
        <v>121</v>
      </c>
      <c r="D68" s="4" t="s">
        <v>121</v>
      </c>
      <c r="E68" s="4" t="s">
        <v>165</v>
      </c>
      <c r="F68" s="5" t="s">
        <v>169</v>
      </c>
      <c r="G68" s="5">
        <v>15</v>
      </c>
      <c r="H68" s="5">
        <v>15.27</v>
      </c>
      <c r="I68" s="38" t="s">
        <v>170</v>
      </c>
      <c r="J68" s="39"/>
      <c r="K68" s="39"/>
    </row>
    <row r="69" spans="1:11" x14ac:dyDescent="0.35">
      <c r="A69" s="1">
        <v>57</v>
      </c>
      <c r="B69" s="78"/>
      <c r="C69" s="4" t="s">
        <v>171</v>
      </c>
      <c r="D69" s="4" t="s">
        <v>171</v>
      </c>
      <c r="E69" s="4" t="s">
        <v>172</v>
      </c>
      <c r="F69" s="5" t="s">
        <v>173</v>
      </c>
      <c r="G69" s="5">
        <v>5</v>
      </c>
      <c r="H69" s="5">
        <v>5.0199999999999996</v>
      </c>
      <c r="I69" s="38" t="s">
        <v>174</v>
      </c>
      <c r="J69" s="39"/>
      <c r="K69" s="39"/>
    </row>
    <row r="70" spans="1:11" x14ac:dyDescent="0.35">
      <c r="A70" s="1">
        <v>58</v>
      </c>
      <c r="B70" s="78"/>
      <c r="C70" s="4" t="s">
        <v>171</v>
      </c>
      <c r="D70" s="4" t="s">
        <v>171</v>
      </c>
      <c r="E70" s="4" t="s">
        <v>175</v>
      </c>
      <c r="F70" s="5" t="s">
        <v>175</v>
      </c>
      <c r="G70" s="5">
        <v>5</v>
      </c>
      <c r="H70" s="5">
        <v>5.88</v>
      </c>
      <c r="I70" s="38" t="s">
        <v>176</v>
      </c>
      <c r="J70" s="39"/>
      <c r="K70" s="39"/>
    </row>
    <row r="71" spans="1:11" x14ac:dyDescent="0.35">
      <c r="A71" s="1">
        <v>59</v>
      </c>
      <c r="B71" s="78"/>
      <c r="C71" s="4" t="s">
        <v>171</v>
      </c>
      <c r="D71" s="4" t="s">
        <v>171</v>
      </c>
      <c r="E71" s="4" t="s">
        <v>175</v>
      </c>
      <c r="F71" s="5" t="s">
        <v>177</v>
      </c>
      <c r="G71" s="5">
        <v>10</v>
      </c>
      <c r="H71" s="5">
        <v>10.1</v>
      </c>
      <c r="I71" s="38" t="s">
        <v>178</v>
      </c>
      <c r="J71" s="39"/>
      <c r="K71" s="39"/>
    </row>
    <row r="72" spans="1:11" x14ac:dyDescent="0.35">
      <c r="B72" s="78"/>
      <c r="C72" s="80" t="s">
        <v>171</v>
      </c>
      <c r="D72" s="80" t="s">
        <v>171</v>
      </c>
      <c r="E72" s="80" t="s">
        <v>171</v>
      </c>
      <c r="F72" s="92" t="s">
        <v>179</v>
      </c>
      <c r="G72" s="92">
        <v>5</v>
      </c>
      <c r="H72" s="5">
        <v>2.0099999999999998</v>
      </c>
      <c r="I72" s="38" t="s">
        <v>180</v>
      </c>
      <c r="J72" s="39"/>
      <c r="K72" s="39"/>
    </row>
    <row r="73" spans="1:11" x14ac:dyDescent="0.35">
      <c r="A73" s="1">
        <v>60</v>
      </c>
      <c r="B73" s="78"/>
      <c r="C73" s="81"/>
      <c r="D73" s="81"/>
      <c r="E73" s="81"/>
      <c r="F73" s="93"/>
      <c r="G73" s="93"/>
      <c r="H73" s="5">
        <v>3.43</v>
      </c>
      <c r="I73" s="38" t="s">
        <v>181</v>
      </c>
      <c r="J73" s="39"/>
      <c r="K73" s="39"/>
    </row>
    <row r="74" spans="1:11" x14ac:dyDescent="0.35">
      <c r="A74" s="1">
        <v>61</v>
      </c>
      <c r="B74" s="78"/>
      <c r="C74" s="4" t="s">
        <v>171</v>
      </c>
      <c r="D74" s="4" t="s">
        <v>171</v>
      </c>
      <c r="E74" s="4" t="s">
        <v>182</v>
      </c>
      <c r="F74" s="5" t="s">
        <v>183</v>
      </c>
      <c r="G74" s="5">
        <v>7</v>
      </c>
      <c r="H74" s="22">
        <v>15.69</v>
      </c>
      <c r="I74" s="38" t="s">
        <v>184</v>
      </c>
      <c r="J74" s="39"/>
      <c r="K74" s="39"/>
    </row>
    <row r="75" spans="1:11" x14ac:dyDescent="0.35">
      <c r="A75" s="1">
        <v>62</v>
      </c>
      <c r="B75" s="78"/>
      <c r="C75" s="4" t="s">
        <v>171</v>
      </c>
      <c r="D75" s="4" t="s">
        <v>171</v>
      </c>
      <c r="E75" s="4" t="s">
        <v>182</v>
      </c>
      <c r="F75" s="5" t="s">
        <v>185</v>
      </c>
      <c r="G75" s="5">
        <v>18</v>
      </c>
      <c r="H75" s="5">
        <v>18.25</v>
      </c>
      <c r="I75" s="38" t="s">
        <v>186</v>
      </c>
      <c r="J75" s="39"/>
      <c r="K75" s="39"/>
    </row>
    <row r="76" spans="1:11" x14ac:dyDescent="0.35">
      <c r="A76" s="1">
        <v>63</v>
      </c>
      <c r="B76" s="78"/>
      <c r="C76" s="4" t="s">
        <v>171</v>
      </c>
      <c r="D76" s="4" t="s">
        <v>171</v>
      </c>
      <c r="E76" s="4" t="s">
        <v>182</v>
      </c>
      <c r="F76" s="5" t="s">
        <v>187</v>
      </c>
      <c r="G76" s="5">
        <v>5</v>
      </c>
      <c r="H76" s="5">
        <v>5.74</v>
      </c>
      <c r="I76" s="38" t="s">
        <v>188</v>
      </c>
      <c r="J76" s="39"/>
      <c r="K76" s="39"/>
    </row>
    <row r="77" spans="1:11" x14ac:dyDescent="0.35">
      <c r="A77" s="1">
        <v>64</v>
      </c>
      <c r="B77" s="78"/>
      <c r="C77" s="4" t="s">
        <v>171</v>
      </c>
      <c r="D77" s="4" t="s">
        <v>189</v>
      </c>
      <c r="E77" s="4" t="s">
        <v>190</v>
      </c>
      <c r="F77" s="5" t="s">
        <v>191</v>
      </c>
      <c r="G77" s="5">
        <v>10</v>
      </c>
      <c r="H77" s="5">
        <v>9.92</v>
      </c>
      <c r="I77" s="38" t="s">
        <v>192</v>
      </c>
      <c r="J77" s="39"/>
      <c r="K77" s="39"/>
    </row>
    <row r="78" spans="1:11" x14ac:dyDescent="0.35">
      <c r="B78" s="78"/>
      <c r="C78" s="4" t="s">
        <v>171</v>
      </c>
      <c r="D78" s="4" t="s">
        <v>189</v>
      </c>
      <c r="E78" s="4" t="s">
        <v>193</v>
      </c>
      <c r="F78" s="5" t="s">
        <v>194</v>
      </c>
      <c r="G78" s="5">
        <v>5</v>
      </c>
      <c r="H78" s="5">
        <v>5.0599999999999996</v>
      </c>
      <c r="I78" s="38" t="s">
        <v>195</v>
      </c>
      <c r="J78" s="39"/>
      <c r="K78" s="39"/>
    </row>
    <row r="79" spans="1:11" x14ac:dyDescent="0.35">
      <c r="A79" s="1">
        <v>65</v>
      </c>
      <c r="B79" s="78"/>
      <c r="C79" s="4" t="s">
        <v>171</v>
      </c>
      <c r="D79" s="4" t="s">
        <v>196</v>
      </c>
      <c r="E79" s="4" t="s">
        <v>196</v>
      </c>
      <c r="F79" s="5" t="s">
        <v>197</v>
      </c>
      <c r="G79" s="5">
        <v>5</v>
      </c>
      <c r="H79" s="5">
        <v>5.25</v>
      </c>
      <c r="I79" s="38" t="s">
        <v>198</v>
      </c>
      <c r="J79" s="39"/>
      <c r="K79" s="39"/>
    </row>
    <row r="80" spans="1:11" x14ac:dyDescent="0.35">
      <c r="A80" s="1">
        <v>66</v>
      </c>
      <c r="B80" s="78"/>
      <c r="C80" s="4" t="s">
        <v>171</v>
      </c>
      <c r="D80" s="4" t="s">
        <v>196</v>
      </c>
      <c r="E80" s="4" t="s">
        <v>199</v>
      </c>
      <c r="F80" s="5" t="s">
        <v>200</v>
      </c>
      <c r="G80" s="5">
        <v>10</v>
      </c>
      <c r="H80" s="5">
        <v>10.45</v>
      </c>
      <c r="I80" s="38" t="s">
        <v>201</v>
      </c>
      <c r="J80" s="39"/>
      <c r="K80" s="39"/>
    </row>
    <row r="81" spans="1:11" x14ac:dyDescent="0.35">
      <c r="A81" s="1">
        <v>67</v>
      </c>
      <c r="B81" s="78"/>
      <c r="C81" s="4" t="s">
        <v>171</v>
      </c>
      <c r="D81" s="4" t="s">
        <v>196</v>
      </c>
      <c r="E81" s="4" t="s">
        <v>202</v>
      </c>
      <c r="F81" s="5" t="s">
        <v>203</v>
      </c>
      <c r="G81" s="5">
        <v>5</v>
      </c>
      <c r="H81" s="5">
        <v>5.1100000000000003</v>
      </c>
      <c r="I81" s="38" t="s">
        <v>204</v>
      </c>
      <c r="J81" s="39"/>
      <c r="K81" s="39"/>
    </row>
    <row r="82" spans="1:11" x14ac:dyDescent="0.35">
      <c r="A82" s="1">
        <v>68</v>
      </c>
      <c r="B82" s="78"/>
      <c r="C82" s="4" t="s">
        <v>171</v>
      </c>
      <c r="D82" s="4" t="s">
        <v>196</v>
      </c>
      <c r="E82" s="4" t="s">
        <v>202</v>
      </c>
      <c r="F82" s="5" t="s">
        <v>205</v>
      </c>
      <c r="G82" s="5">
        <v>5</v>
      </c>
      <c r="H82" s="5">
        <v>5.12</v>
      </c>
      <c r="I82" s="38" t="s">
        <v>206</v>
      </c>
      <c r="J82" s="39"/>
      <c r="K82" s="39"/>
    </row>
    <row r="83" spans="1:11" x14ac:dyDescent="0.35">
      <c r="A83" s="1">
        <v>69</v>
      </c>
      <c r="B83" s="78"/>
      <c r="C83" s="4" t="s">
        <v>171</v>
      </c>
      <c r="D83" s="4" t="s">
        <v>196</v>
      </c>
      <c r="E83" s="4" t="s">
        <v>207</v>
      </c>
      <c r="F83" s="5" t="s">
        <v>208</v>
      </c>
      <c r="G83" s="5">
        <v>30</v>
      </c>
      <c r="H83" s="5">
        <v>30.34</v>
      </c>
      <c r="I83" s="38" t="s">
        <v>209</v>
      </c>
      <c r="J83" s="39"/>
      <c r="K83" s="39"/>
    </row>
    <row r="84" spans="1:11" x14ac:dyDescent="0.35">
      <c r="B84" s="98" t="s">
        <v>210</v>
      </c>
      <c r="C84" s="98"/>
      <c r="D84" s="98"/>
      <c r="E84" s="98"/>
      <c r="F84" s="21"/>
      <c r="G84" s="21">
        <f>SUM(G28:G83)</f>
        <v>435</v>
      </c>
      <c r="H84" s="21"/>
      <c r="I84" s="39"/>
      <c r="J84" s="39"/>
      <c r="K84" s="39"/>
    </row>
    <row r="85" spans="1:11" x14ac:dyDescent="0.35">
      <c r="A85" s="1">
        <v>72</v>
      </c>
      <c r="B85" s="78" t="s">
        <v>72</v>
      </c>
      <c r="C85" s="4" t="s">
        <v>73</v>
      </c>
      <c r="D85" s="4" t="s">
        <v>96</v>
      </c>
      <c r="E85" s="4" t="s">
        <v>100</v>
      </c>
      <c r="F85" s="5" t="s">
        <v>101</v>
      </c>
      <c r="G85" s="5">
        <v>2</v>
      </c>
      <c r="H85" s="5">
        <v>2.2799999999999998</v>
      </c>
      <c r="I85" s="38" t="s">
        <v>211</v>
      </c>
      <c r="J85" s="39"/>
      <c r="K85" s="39"/>
    </row>
    <row r="86" spans="1:11" x14ac:dyDescent="0.35">
      <c r="A86" s="1">
        <v>73</v>
      </c>
      <c r="B86" s="78"/>
      <c r="C86" s="4" t="s">
        <v>73</v>
      </c>
      <c r="D86" s="4" t="s">
        <v>96</v>
      </c>
      <c r="E86" s="4" t="s">
        <v>100</v>
      </c>
      <c r="F86" s="5" t="s">
        <v>103</v>
      </c>
      <c r="G86" s="5">
        <v>3</v>
      </c>
      <c r="H86" s="5">
        <v>3.02</v>
      </c>
      <c r="I86" s="38" t="s">
        <v>212</v>
      </c>
      <c r="J86" s="39"/>
      <c r="K86" s="39"/>
    </row>
    <row r="87" spans="1:11" x14ac:dyDescent="0.35">
      <c r="A87" s="1">
        <v>74</v>
      </c>
      <c r="B87" s="78"/>
      <c r="C87" s="4" t="s">
        <v>73</v>
      </c>
      <c r="D87" s="4" t="s">
        <v>96</v>
      </c>
      <c r="E87" s="4" t="s">
        <v>97</v>
      </c>
      <c r="F87" s="5" t="s">
        <v>213</v>
      </c>
      <c r="G87" s="5">
        <v>5</v>
      </c>
      <c r="H87" s="5">
        <v>5.43</v>
      </c>
      <c r="I87" s="38" t="s">
        <v>214</v>
      </c>
      <c r="J87" s="39"/>
      <c r="K87" s="39"/>
    </row>
    <row r="88" spans="1:11" x14ac:dyDescent="0.35">
      <c r="A88" s="1">
        <v>75</v>
      </c>
      <c r="B88" s="78"/>
      <c r="C88" s="4" t="s">
        <v>73</v>
      </c>
      <c r="D88" s="4" t="s">
        <v>96</v>
      </c>
      <c r="E88" s="4" t="s">
        <v>116</v>
      </c>
      <c r="F88" s="5" t="s">
        <v>117</v>
      </c>
      <c r="G88" s="5">
        <v>5</v>
      </c>
      <c r="H88" s="5">
        <v>5.47</v>
      </c>
      <c r="I88" s="38" t="s">
        <v>215</v>
      </c>
      <c r="J88" s="39"/>
      <c r="K88" s="39"/>
    </row>
    <row r="89" spans="1:11" x14ac:dyDescent="0.35">
      <c r="B89" s="78"/>
      <c r="C89" s="4" t="s">
        <v>73</v>
      </c>
      <c r="D89" s="5" t="s">
        <v>73</v>
      </c>
      <c r="E89" s="5" t="s">
        <v>84</v>
      </c>
      <c r="F89" s="5" t="s">
        <v>90</v>
      </c>
      <c r="G89" s="5">
        <v>5</v>
      </c>
      <c r="H89" s="5">
        <v>5.14</v>
      </c>
      <c r="I89" s="38" t="s">
        <v>216</v>
      </c>
      <c r="J89" s="39"/>
      <c r="K89" s="39"/>
    </row>
    <row r="90" spans="1:11" x14ac:dyDescent="0.35">
      <c r="A90" s="1">
        <v>76</v>
      </c>
      <c r="B90" s="78"/>
      <c r="C90" s="4" t="s">
        <v>73</v>
      </c>
      <c r="D90" s="4" t="s">
        <v>73</v>
      </c>
      <c r="E90" s="4" t="s">
        <v>91</v>
      </c>
      <c r="F90" s="5" t="s">
        <v>92</v>
      </c>
      <c r="G90" s="5">
        <v>2</v>
      </c>
      <c r="H90" s="5">
        <v>2.33</v>
      </c>
      <c r="I90" s="38" t="s">
        <v>217</v>
      </c>
      <c r="J90" s="39"/>
      <c r="K90" s="39"/>
    </row>
    <row r="91" spans="1:11" x14ac:dyDescent="0.35">
      <c r="A91" s="1">
        <v>77</v>
      </c>
      <c r="B91" s="78"/>
      <c r="C91" s="4" t="s">
        <v>73</v>
      </c>
      <c r="D91" s="4" t="s">
        <v>73</v>
      </c>
      <c r="E91" s="4" t="s">
        <v>91</v>
      </c>
      <c r="F91" s="5" t="s">
        <v>94</v>
      </c>
      <c r="G91" s="5">
        <v>3</v>
      </c>
      <c r="H91" s="5">
        <v>3.03</v>
      </c>
      <c r="I91" s="38" t="s">
        <v>218</v>
      </c>
      <c r="J91" s="39"/>
      <c r="K91" s="39"/>
    </row>
    <row r="92" spans="1:11" x14ac:dyDescent="0.35">
      <c r="A92" s="1">
        <v>78</v>
      </c>
      <c r="B92" s="78"/>
      <c r="C92" s="4" t="s">
        <v>73</v>
      </c>
      <c r="D92" s="4" t="s">
        <v>73</v>
      </c>
      <c r="E92" s="4" t="s">
        <v>219</v>
      </c>
      <c r="F92" s="63"/>
      <c r="G92" s="63"/>
      <c r="H92" s="43"/>
      <c r="I92" s="39"/>
      <c r="J92" s="39"/>
      <c r="K92" s="39"/>
    </row>
    <row r="93" spans="1:11" x14ac:dyDescent="0.35">
      <c r="A93" s="1">
        <v>79</v>
      </c>
      <c r="B93" s="78"/>
      <c r="C93" s="4" t="s">
        <v>121</v>
      </c>
      <c r="D93" s="4" t="s">
        <v>122</v>
      </c>
      <c r="E93" s="4" t="s">
        <v>131</v>
      </c>
      <c r="F93" s="5" t="s">
        <v>141</v>
      </c>
      <c r="G93" s="5">
        <v>5</v>
      </c>
      <c r="H93" s="5">
        <v>5.4</v>
      </c>
      <c r="I93" s="38" t="s">
        <v>220</v>
      </c>
      <c r="J93" s="39"/>
      <c r="K93" s="39"/>
    </row>
    <row r="94" spans="1:11" x14ac:dyDescent="0.35">
      <c r="A94" s="1">
        <v>80</v>
      </c>
      <c r="B94" s="78"/>
      <c r="C94" s="4" t="s">
        <v>121</v>
      </c>
      <c r="D94" s="4" t="s">
        <v>140</v>
      </c>
      <c r="E94" s="4" t="s">
        <v>143</v>
      </c>
      <c r="F94" s="5" t="s">
        <v>146</v>
      </c>
      <c r="G94" s="5">
        <v>2</v>
      </c>
      <c r="H94" s="5">
        <v>2.17</v>
      </c>
      <c r="I94" s="38" t="s">
        <v>221</v>
      </c>
      <c r="J94" s="39"/>
      <c r="K94" s="39"/>
    </row>
    <row r="95" spans="1:11" x14ac:dyDescent="0.35">
      <c r="A95" s="1">
        <v>81</v>
      </c>
      <c r="B95" s="78"/>
      <c r="C95" s="4" t="s">
        <v>121</v>
      </c>
      <c r="D95" s="4" t="s">
        <v>140</v>
      </c>
      <c r="E95" s="4" t="s">
        <v>140</v>
      </c>
      <c r="F95" s="5" t="s">
        <v>222</v>
      </c>
      <c r="G95" s="5">
        <v>2</v>
      </c>
      <c r="H95" s="5">
        <v>2.09</v>
      </c>
      <c r="I95" s="38" t="s">
        <v>223</v>
      </c>
      <c r="J95" s="39"/>
      <c r="K95" s="39"/>
    </row>
    <row r="96" spans="1:11" x14ac:dyDescent="0.35">
      <c r="A96" s="1">
        <v>82</v>
      </c>
      <c r="B96" s="78"/>
      <c r="C96" s="4" t="s">
        <v>121</v>
      </c>
      <c r="D96" s="4" t="s">
        <v>140</v>
      </c>
      <c r="E96" s="4" t="s">
        <v>150</v>
      </c>
      <c r="F96" s="5" t="s">
        <v>151</v>
      </c>
      <c r="G96" s="5">
        <v>2</v>
      </c>
      <c r="H96" s="5">
        <v>2.2999999999999998</v>
      </c>
      <c r="I96" s="38" t="s">
        <v>224</v>
      </c>
      <c r="J96" s="39"/>
      <c r="K96" s="39"/>
    </row>
    <row r="97" spans="1:11" x14ac:dyDescent="0.35">
      <c r="A97" s="1">
        <v>83</v>
      </c>
      <c r="B97" s="78"/>
      <c r="C97" s="4" t="s">
        <v>121</v>
      </c>
      <c r="D97" s="4" t="s">
        <v>140</v>
      </c>
      <c r="E97" s="4" t="s">
        <v>153</v>
      </c>
      <c r="F97" s="5" t="s">
        <v>154</v>
      </c>
      <c r="G97" s="5">
        <v>2</v>
      </c>
      <c r="H97" s="5">
        <v>2.13</v>
      </c>
      <c r="I97" s="38" t="s">
        <v>225</v>
      </c>
      <c r="J97" s="39"/>
      <c r="K97" s="39"/>
    </row>
    <row r="98" spans="1:11" x14ac:dyDescent="0.35">
      <c r="A98" s="1">
        <v>84</v>
      </c>
      <c r="B98" s="78"/>
      <c r="C98" s="4" t="s">
        <v>121</v>
      </c>
      <c r="D98" s="4" t="s">
        <v>140</v>
      </c>
      <c r="E98" s="4" t="s">
        <v>158</v>
      </c>
      <c r="F98" s="5" t="s">
        <v>158</v>
      </c>
      <c r="G98" s="5">
        <v>2</v>
      </c>
      <c r="H98" s="5">
        <v>2.04</v>
      </c>
      <c r="I98" s="38" t="s">
        <v>226</v>
      </c>
      <c r="J98" s="39"/>
      <c r="K98" s="39"/>
    </row>
    <row r="99" spans="1:11" x14ac:dyDescent="0.35">
      <c r="A99" s="1">
        <v>85</v>
      </c>
      <c r="B99" s="78"/>
      <c r="C99" s="4" t="s">
        <v>121</v>
      </c>
      <c r="D99" s="4" t="s">
        <v>121</v>
      </c>
      <c r="E99" s="4" t="s">
        <v>165</v>
      </c>
      <c r="F99" s="5" t="s">
        <v>169</v>
      </c>
      <c r="G99" s="5">
        <v>5</v>
      </c>
      <c r="H99" s="5">
        <v>5.03</v>
      </c>
      <c r="I99" s="38" t="s">
        <v>227</v>
      </c>
      <c r="J99" s="39"/>
      <c r="K99" s="39"/>
    </row>
    <row r="100" spans="1:11" x14ac:dyDescent="0.35">
      <c r="A100" s="1">
        <v>86</v>
      </c>
      <c r="B100" s="78"/>
      <c r="C100" s="4" t="s">
        <v>121</v>
      </c>
      <c r="D100" s="4" t="s">
        <v>121</v>
      </c>
      <c r="E100" s="4" t="s">
        <v>228</v>
      </c>
      <c r="F100" s="5" t="s">
        <v>229</v>
      </c>
      <c r="G100" s="5">
        <v>5</v>
      </c>
      <c r="H100" s="5">
        <v>5.25</v>
      </c>
      <c r="I100" s="38" t="s">
        <v>230</v>
      </c>
      <c r="J100" s="39"/>
      <c r="K100" s="39"/>
    </row>
    <row r="101" spans="1:11" x14ac:dyDescent="0.35">
      <c r="A101" s="1">
        <v>87</v>
      </c>
      <c r="B101" s="78"/>
      <c r="C101" s="4" t="s">
        <v>171</v>
      </c>
      <c r="D101" s="4" t="s">
        <v>171</v>
      </c>
      <c r="E101" s="4" t="s">
        <v>172</v>
      </c>
      <c r="F101" s="5" t="s">
        <v>231</v>
      </c>
      <c r="G101" s="5">
        <v>3</v>
      </c>
      <c r="H101" s="5">
        <v>3.04</v>
      </c>
      <c r="I101" s="38" t="s">
        <v>232</v>
      </c>
      <c r="J101" s="39"/>
      <c r="K101" s="39"/>
    </row>
    <row r="102" spans="1:11" x14ac:dyDescent="0.35">
      <c r="A102" s="1">
        <v>88</v>
      </c>
      <c r="B102" s="78"/>
      <c r="C102" s="4" t="s">
        <v>171</v>
      </c>
      <c r="D102" s="4" t="s">
        <v>171</v>
      </c>
      <c r="E102" s="4" t="s">
        <v>182</v>
      </c>
      <c r="F102" s="5" t="s">
        <v>183</v>
      </c>
      <c r="G102" s="5">
        <v>5</v>
      </c>
      <c r="H102" s="20">
        <v>2.13</v>
      </c>
      <c r="I102" s="38" t="s">
        <v>233</v>
      </c>
      <c r="J102" s="39"/>
      <c r="K102" s="39"/>
    </row>
    <row r="103" spans="1:11" x14ac:dyDescent="0.35">
      <c r="B103" s="78"/>
      <c r="C103" s="82" t="s">
        <v>171</v>
      </c>
      <c r="D103" s="82" t="s">
        <v>171</v>
      </c>
      <c r="E103" s="80" t="s">
        <v>182</v>
      </c>
      <c r="F103" s="92" t="s">
        <v>185</v>
      </c>
      <c r="G103" s="92">
        <v>10</v>
      </c>
      <c r="H103" s="5">
        <v>3.59</v>
      </c>
      <c r="I103" s="38" t="s">
        <v>234</v>
      </c>
      <c r="J103" s="39"/>
      <c r="K103" s="39"/>
    </row>
    <row r="104" spans="1:11" x14ac:dyDescent="0.35">
      <c r="A104" s="1">
        <v>89</v>
      </c>
      <c r="B104" s="78"/>
      <c r="C104" s="83"/>
      <c r="D104" s="83"/>
      <c r="E104" s="81"/>
      <c r="F104" s="93"/>
      <c r="G104" s="93"/>
      <c r="H104" s="5">
        <v>5.0599999999999996</v>
      </c>
      <c r="I104" s="38" t="s">
        <v>235</v>
      </c>
      <c r="J104" s="39"/>
      <c r="K104" s="39"/>
    </row>
    <row r="105" spans="1:11" x14ac:dyDescent="0.35">
      <c r="A105" s="1">
        <v>90</v>
      </c>
      <c r="B105" s="78"/>
      <c r="C105" s="4" t="s">
        <v>171</v>
      </c>
      <c r="D105" s="4" t="s">
        <v>171</v>
      </c>
      <c r="E105" s="4" t="s">
        <v>182</v>
      </c>
      <c r="F105" s="5" t="s">
        <v>187</v>
      </c>
      <c r="G105" s="5">
        <v>2</v>
      </c>
      <c r="H105" s="5">
        <v>2.25</v>
      </c>
      <c r="I105" s="38" t="s">
        <v>236</v>
      </c>
      <c r="J105" s="39"/>
      <c r="K105" s="39"/>
    </row>
    <row r="106" spans="1:11" x14ac:dyDescent="0.35">
      <c r="A106" s="4"/>
      <c r="B106" s="98" t="s">
        <v>237</v>
      </c>
      <c r="C106" s="98"/>
      <c r="D106" s="98"/>
      <c r="E106" s="98"/>
      <c r="F106" s="21"/>
      <c r="G106" s="21">
        <f>SUM(G85:G105)</f>
        <v>70</v>
      </c>
      <c r="H106" s="21"/>
      <c r="I106" s="39"/>
      <c r="J106" s="39"/>
      <c r="K106" s="39"/>
    </row>
    <row r="107" spans="1:11" x14ac:dyDescent="0.35">
      <c r="A107" s="4"/>
      <c r="B107" s="98" t="s">
        <v>238</v>
      </c>
      <c r="C107" s="98"/>
      <c r="D107" s="98"/>
      <c r="E107" s="98"/>
      <c r="F107" s="21"/>
      <c r="G107" s="21">
        <f>G106+G84</f>
        <v>505</v>
      </c>
      <c r="H107" s="21"/>
      <c r="I107" s="39"/>
      <c r="J107" s="39"/>
      <c r="K107" s="39"/>
    </row>
    <row r="108" spans="1:11" x14ac:dyDescent="0.35">
      <c r="A108" s="4">
        <v>91</v>
      </c>
      <c r="B108" s="78" t="s">
        <v>239</v>
      </c>
      <c r="C108" s="4" t="s">
        <v>240</v>
      </c>
      <c r="D108" s="4" t="s">
        <v>241</v>
      </c>
      <c r="E108" s="4" t="s">
        <v>242</v>
      </c>
      <c r="F108" s="4"/>
      <c r="G108" s="4"/>
      <c r="H108" s="4"/>
      <c r="I108" s="39"/>
      <c r="J108" s="39"/>
      <c r="K108" s="39"/>
    </row>
    <row r="109" spans="1:11" x14ac:dyDescent="0.35">
      <c r="A109" s="4">
        <v>92</v>
      </c>
      <c r="B109" s="78"/>
      <c r="C109" s="4" t="s">
        <v>240</v>
      </c>
      <c r="D109" s="4" t="s">
        <v>241</v>
      </c>
      <c r="E109" s="4" t="s">
        <v>242</v>
      </c>
      <c r="F109" s="4"/>
      <c r="G109" s="4"/>
      <c r="H109" s="4"/>
      <c r="I109" s="39"/>
      <c r="J109" s="39"/>
      <c r="K109" s="39"/>
    </row>
    <row r="110" spans="1:11" x14ac:dyDescent="0.35">
      <c r="A110" s="4">
        <v>93</v>
      </c>
      <c r="B110" s="78"/>
      <c r="C110" s="4" t="s">
        <v>240</v>
      </c>
      <c r="D110" s="4" t="s">
        <v>241</v>
      </c>
      <c r="E110" s="4" t="s">
        <v>242</v>
      </c>
      <c r="F110" s="4"/>
      <c r="G110" s="4"/>
      <c r="H110" s="4"/>
      <c r="I110" s="39"/>
      <c r="J110" s="39"/>
      <c r="K110" s="39"/>
    </row>
    <row r="111" spans="1:11" x14ac:dyDescent="0.35">
      <c r="A111" s="4">
        <v>94</v>
      </c>
      <c r="B111" s="78"/>
      <c r="C111" s="4" t="s">
        <v>240</v>
      </c>
      <c r="D111" s="4" t="s">
        <v>241</v>
      </c>
      <c r="E111" s="4" t="s">
        <v>242</v>
      </c>
      <c r="F111" s="4"/>
      <c r="G111" s="4"/>
      <c r="H111" s="4"/>
      <c r="I111" s="39"/>
      <c r="J111" s="39"/>
      <c r="K111" s="39"/>
    </row>
    <row r="112" spans="1:11" x14ac:dyDescent="0.35">
      <c r="A112" s="4">
        <v>95</v>
      </c>
      <c r="B112" s="78"/>
      <c r="C112" s="4" t="s">
        <v>240</v>
      </c>
      <c r="D112" s="4" t="s">
        <v>241</v>
      </c>
      <c r="E112" s="4" t="s">
        <v>243</v>
      </c>
      <c r="F112" s="4"/>
      <c r="G112" s="4"/>
      <c r="H112" s="4"/>
      <c r="I112" s="39"/>
      <c r="J112" s="39"/>
      <c r="K112" s="39"/>
    </row>
    <row r="113" spans="1:11" x14ac:dyDescent="0.35">
      <c r="A113" s="4">
        <v>96</v>
      </c>
      <c r="B113" s="78"/>
      <c r="C113" s="4" t="s">
        <v>240</v>
      </c>
      <c r="D113" s="4" t="s">
        <v>240</v>
      </c>
      <c r="E113" s="4" t="s">
        <v>244</v>
      </c>
      <c r="F113" s="4"/>
      <c r="G113" s="4"/>
      <c r="H113" s="4"/>
      <c r="I113" s="39"/>
      <c r="J113" s="39"/>
      <c r="K113" s="39"/>
    </row>
    <row r="114" spans="1:11" x14ac:dyDescent="0.35">
      <c r="A114" s="4">
        <v>97</v>
      </c>
      <c r="B114" s="78"/>
      <c r="C114" s="4" t="s">
        <v>240</v>
      </c>
      <c r="D114" s="4" t="s">
        <v>240</v>
      </c>
      <c r="E114" s="4" t="s">
        <v>240</v>
      </c>
      <c r="F114" s="4"/>
      <c r="G114" s="4"/>
      <c r="H114" s="4"/>
      <c r="I114" s="39"/>
      <c r="J114" s="39"/>
      <c r="K114" s="39"/>
    </row>
    <row r="115" spans="1:11" x14ac:dyDescent="0.35">
      <c r="A115" s="4">
        <v>98</v>
      </c>
      <c r="B115" s="78"/>
      <c r="C115" s="4" t="s">
        <v>240</v>
      </c>
      <c r="D115" s="4" t="s">
        <v>245</v>
      </c>
      <c r="E115" s="4" t="s">
        <v>246</v>
      </c>
      <c r="F115" s="5" t="s">
        <v>247</v>
      </c>
      <c r="G115" s="5">
        <v>4</v>
      </c>
      <c r="H115" s="5">
        <v>4.08</v>
      </c>
      <c r="I115" s="73" t="s">
        <v>248</v>
      </c>
      <c r="J115" s="39"/>
      <c r="K115" s="39"/>
    </row>
    <row r="116" spans="1:11" x14ac:dyDescent="0.35">
      <c r="A116" s="4">
        <v>99</v>
      </c>
      <c r="B116" s="78"/>
      <c r="C116" s="4" t="s">
        <v>240</v>
      </c>
      <c r="D116" s="4" t="s">
        <v>245</v>
      </c>
      <c r="E116" s="4" t="s">
        <v>249</v>
      </c>
      <c r="F116" s="5" t="s">
        <v>250</v>
      </c>
      <c r="G116" s="5">
        <v>9</v>
      </c>
      <c r="H116" s="43">
        <v>8.98</v>
      </c>
      <c r="I116" s="38" t="s">
        <v>251</v>
      </c>
      <c r="J116" s="39"/>
      <c r="K116" s="39"/>
    </row>
    <row r="117" spans="1:11" x14ac:dyDescent="0.35">
      <c r="A117" s="4">
        <v>100</v>
      </c>
      <c r="B117" s="78"/>
      <c r="C117" s="4" t="s">
        <v>240</v>
      </c>
      <c r="D117" s="4" t="s">
        <v>245</v>
      </c>
      <c r="E117" s="4" t="s">
        <v>245</v>
      </c>
      <c r="F117" s="5" t="s">
        <v>252</v>
      </c>
      <c r="G117" s="5">
        <v>6</v>
      </c>
      <c r="H117" s="5">
        <v>6.01</v>
      </c>
      <c r="I117" s="38" t="s">
        <v>253</v>
      </c>
      <c r="J117" s="39"/>
      <c r="K117" s="39"/>
    </row>
    <row r="118" spans="1:11" x14ac:dyDescent="0.35">
      <c r="A118" s="4">
        <v>101</v>
      </c>
      <c r="B118" s="78"/>
      <c r="C118" s="4" t="s">
        <v>240</v>
      </c>
      <c r="D118" s="4" t="s">
        <v>245</v>
      </c>
      <c r="E118" s="4" t="s">
        <v>254</v>
      </c>
      <c r="F118" s="5" t="s">
        <v>255</v>
      </c>
      <c r="G118" s="5">
        <v>10</v>
      </c>
      <c r="H118" s="11">
        <v>10.66</v>
      </c>
      <c r="I118" s="38" t="s">
        <v>256</v>
      </c>
      <c r="J118" s="39"/>
      <c r="K118" s="39"/>
    </row>
    <row r="119" spans="1:11" x14ac:dyDescent="0.35">
      <c r="A119" s="4">
        <v>102</v>
      </c>
      <c r="B119" s="78"/>
      <c r="C119" s="4" t="s">
        <v>257</v>
      </c>
      <c r="D119" s="4" t="s">
        <v>258</v>
      </c>
      <c r="E119" s="4" t="s">
        <v>259</v>
      </c>
      <c r="F119" s="4"/>
      <c r="G119" s="4"/>
      <c r="H119" s="4"/>
      <c r="I119" s="39"/>
      <c r="J119" s="39"/>
      <c r="K119" s="39"/>
    </row>
    <row r="120" spans="1:11" x14ac:dyDescent="0.35">
      <c r="A120" s="4">
        <v>103</v>
      </c>
      <c r="B120" s="78"/>
      <c r="C120" s="4" t="s">
        <v>257</v>
      </c>
      <c r="D120" s="4" t="s">
        <v>258</v>
      </c>
      <c r="E120" s="4" t="s">
        <v>260</v>
      </c>
      <c r="F120" s="4"/>
      <c r="G120" s="4"/>
      <c r="H120" s="4"/>
      <c r="I120" s="39"/>
      <c r="J120" s="39"/>
      <c r="K120" s="39"/>
    </row>
    <row r="121" spans="1:11" x14ac:dyDescent="0.35">
      <c r="A121" s="4">
        <v>104</v>
      </c>
      <c r="B121" s="78"/>
      <c r="C121" s="4" t="s">
        <v>257</v>
      </c>
      <c r="D121" s="4" t="s">
        <v>258</v>
      </c>
      <c r="E121" s="4" t="s">
        <v>261</v>
      </c>
      <c r="F121" s="4"/>
      <c r="G121" s="4"/>
      <c r="H121" s="4"/>
      <c r="I121" s="39"/>
      <c r="J121" s="39"/>
      <c r="K121" s="39"/>
    </row>
    <row r="122" spans="1:11" x14ac:dyDescent="0.35">
      <c r="A122" s="4">
        <v>105</v>
      </c>
      <c r="B122" s="78"/>
      <c r="C122" s="4" t="s">
        <v>257</v>
      </c>
      <c r="D122" s="4" t="s">
        <v>258</v>
      </c>
      <c r="E122" s="4" t="s">
        <v>261</v>
      </c>
      <c r="F122" s="4"/>
      <c r="G122" s="4"/>
      <c r="H122" s="4"/>
      <c r="I122" s="39"/>
      <c r="J122" s="39"/>
      <c r="K122" s="39"/>
    </row>
    <row r="123" spans="1:11" x14ac:dyDescent="0.35">
      <c r="A123" s="4">
        <v>106</v>
      </c>
      <c r="B123" s="78"/>
      <c r="C123" s="4" t="s">
        <v>257</v>
      </c>
      <c r="D123" s="4" t="s">
        <v>258</v>
      </c>
      <c r="E123" s="4" t="s">
        <v>261</v>
      </c>
      <c r="F123" s="4"/>
      <c r="G123" s="4"/>
      <c r="H123" s="4"/>
      <c r="I123" s="39"/>
      <c r="J123" s="39"/>
      <c r="K123" s="39"/>
    </row>
    <row r="124" spans="1:11" x14ac:dyDescent="0.35">
      <c r="A124" s="4">
        <v>107</v>
      </c>
      <c r="B124" s="78"/>
      <c r="C124" s="4" t="s">
        <v>257</v>
      </c>
      <c r="D124" s="4" t="s">
        <v>258</v>
      </c>
      <c r="E124" s="4" t="s">
        <v>261</v>
      </c>
      <c r="F124" s="4"/>
      <c r="G124" s="4"/>
      <c r="H124" s="4"/>
      <c r="I124" s="39"/>
      <c r="J124" s="39"/>
      <c r="K124" s="39"/>
    </row>
    <row r="125" spans="1:11" x14ac:dyDescent="0.35">
      <c r="A125" s="4">
        <v>108</v>
      </c>
      <c r="B125" s="78"/>
      <c r="C125" s="4" t="s">
        <v>257</v>
      </c>
      <c r="D125" s="4" t="s">
        <v>258</v>
      </c>
      <c r="E125" s="4" t="s">
        <v>261</v>
      </c>
      <c r="F125" s="4"/>
      <c r="G125" s="4"/>
      <c r="H125" s="4"/>
      <c r="I125" s="39"/>
      <c r="J125" s="39"/>
      <c r="K125" s="39"/>
    </row>
    <row r="126" spans="1:11" x14ac:dyDescent="0.35">
      <c r="A126" s="4">
        <v>109</v>
      </c>
      <c r="B126" s="78"/>
      <c r="C126" s="4" t="s">
        <v>257</v>
      </c>
      <c r="D126" s="4" t="s">
        <v>262</v>
      </c>
      <c r="E126" s="4" t="s">
        <v>263</v>
      </c>
      <c r="F126" s="4"/>
      <c r="G126" s="4"/>
      <c r="H126" s="4"/>
      <c r="I126" s="39"/>
      <c r="J126" s="39"/>
      <c r="K126" s="39"/>
    </row>
    <row r="127" spans="1:11" x14ac:dyDescent="0.35">
      <c r="A127" s="4">
        <v>110</v>
      </c>
      <c r="B127" s="78"/>
      <c r="C127" s="4" t="s">
        <v>257</v>
      </c>
      <c r="D127" s="4" t="s">
        <v>262</v>
      </c>
      <c r="E127" s="4" t="s">
        <v>263</v>
      </c>
      <c r="F127" s="4"/>
      <c r="G127" s="4"/>
      <c r="H127" s="4"/>
      <c r="I127" s="39"/>
      <c r="J127" s="39"/>
      <c r="K127" s="39"/>
    </row>
    <row r="128" spans="1:11" x14ac:dyDescent="0.35">
      <c r="A128" s="4">
        <v>111</v>
      </c>
      <c r="B128" s="78"/>
      <c r="C128" s="4" t="s">
        <v>257</v>
      </c>
      <c r="D128" s="4" t="s">
        <v>262</v>
      </c>
      <c r="E128" s="4" t="s">
        <v>263</v>
      </c>
      <c r="F128" s="4"/>
      <c r="G128" s="4"/>
      <c r="H128" s="4"/>
      <c r="I128" s="39"/>
      <c r="J128" s="39"/>
      <c r="K128" s="39"/>
    </row>
    <row r="129" spans="1:11" x14ac:dyDescent="0.35">
      <c r="A129" s="4">
        <v>112</v>
      </c>
      <c r="B129" s="78"/>
      <c r="C129" s="4" t="s">
        <v>257</v>
      </c>
      <c r="D129" s="4" t="s">
        <v>264</v>
      </c>
      <c r="E129" s="4" t="s">
        <v>264</v>
      </c>
      <c r="F129" s="4"/>
      <c r="G129" s="4"/>
      <c r="H129" s="4"/>
      <c r="I129" s="39"/>
      <c r="J129" s="39"/>
      <c r="K129" s="39"/>
    </row>
    <row r="130" spans="1:11" x14ac:dyDescent="0.35">
      <c r="A130" s="4">
        <v>113</v>
      </c>
      <c r="B130" s="78"/>
      <c r="C130" s="4" t="s">
        <v>257</v>
      </c>
      <c r="D130" s="4" t="s">
        <v>264</v>
      </c>
      <c r="E130" s="4" t="s">
        <v>264</v>
      </c>
      <c r="F130" s="4"/>
      <c r="G130" s="4"/>
      <c r="H130" s="4"/>
      <c r="I130" s="39"/>
      <c r="J130" s="39"/>
      <c r="K130" s="39"/>
    </row>
    <row r="131" spans="1:11" x14ac:dyDescent="0.35">
      <c r="A131" s="4">
        <v>114</v>
      </c>
      <c r="B131" s="78"/>
      <c r="C131" s="4" t="s">
        <v>257</v>
      </c>
      <c r="D131" s="4" t="s">
        <v>264</v>
      </c>
      <c r="E131" s="4" t="s">
        <v>264</v>
      </c>
      <c r="F131" s="4"/>
      <c r="G131" s="4"/>
      <c r="H131" s="4"/>
      <c r="I131" s="39"/>
      <c r="J131" s="39"/>
      <c r="K131" s="39"/>
    </row>
    <row r="132" spans="1:11" x14ac:dyDescent="0.35">
      <c r="A132" s="4">
        <v>115</v>
      </c>
      <c r="B132" s="78"/>
      <c r="C132" s="4" t="s">
        <v>257</v>
      </c>
      <c r="D132" s="4" t="s">
        <v>264</v>
      </c>
      <c r="E132" s="4" t="s">
        <v>264</v>
      </c>
      <c r="F132" s="4"/>
      <c r="G132" s="4"/>
      <c r="H132" s="4"/>
      <c r="I132" s="39"/>
      <c r="J132" s="39"/>
      <c r="K132" s="39"/>
    </row>
    <row r="133" spans="1:11" x14ac:dyDescent="0.35">
      <c r="A133" s="4">
        <v>116</v>
      </c>
      <c r="B133" s="78"/>
      <c r="C133" s="4" t="s">
        <v>257</v>
      </c>
      <c r="D133" s="4" t="s">
        <v>264</v>
      </c>
      <c r="E133" s="4" t="s">
        <v>264</v>
      </c>
      <c r="F133" s="4"/>
      <c r="G133" s="4"/>
      <c r="H133" s="4"/>
      <c r="I133" s="39"/>
      <c r="J133" s="39"/>
      <c r="K133" s="39"/>
    </row>
    <row r="134" spans="1:11" x14ac:dyDescent="0.35">
      <c r="A134" s="4">
        <v>117</v>
      </c>
      <c r="B134" s="78"/>
      <c r="C134" s="4" t="s">
        <v>257</v>
      </c>
      <c r="D134" s="4" t="s">
        <v>264</v>
      </c>
      <c r="E134" s="4" t="s">
        <v>264</v>
      </c>
      <c r="F134" s="4"/>
      <c r="G134" s="4"/>
      <c r="H134" s="4"/>
      <c r="I134" s="39"/>
      <c r="J134" s="39"/>
      <c r="K134" s="39"/>
    </row>
    <row r="135" spans="1:11" x14ac:dyDescent="0.35">
      <c r="A135" s="4">
        <v>118</v>
      </c>
      <c r="B135" s="78"/>
      <c r="C135" s="4" t="s">
        <v>257</v>
      </c>
      <c r="D135" s="4" t="s">
        <v>264</v>
      </c>
      <c r="E135" s="4" t="s">
        <v>264</v>
      </c>
      <c r="F135" s="4"/>
      <c r="G135" s="4"/>
      <c r="H135" s="4"/>
      <c r="I135" s="39"/>
      <c r="J135" s="39"/>
      <c r="K135" s="39"/>
    </row>
    <row r="136" spans="1:11" x14ac:dyDescent="0.35">
      <c r="A136" s="4">
        <v>119</v>
      </c>
      <c r="B136" s="78"/>
      <c r="C136" s="4" t="s">
        <v>257</v>
      </c>
      <c r="D136" s="4" t="s">
        <v>264</v>
      </c>
      <c r="E136" s="4" t="s">
        <v>264</v>
      </c>
      <c r="F136" s="4"/>
      <c r="G136" s="4"/>
      <c r="H136" s="4"/>
      <c r="I136" s="39"/>
      <c r="J136" s="39"/>
      <c r="K136" s="39"/>
    </row>
    <row r="137" spans="1:11" x14ac:dyDescent="0.35">
      <c r="A137" s="4">
        <v>120</v>
      </c>
      <c r="B137" s="78"/>
      <c r="C137" s="4" t="s">
        <v>257</v>
      </c>
      <c r="D137" s="4" t="s">
        <v>264</v>
      </c>
      <c r="E137" s="4" t="s">
        <v>264</v>
      </c>
      <c r="F137" s="4"/>
      <c r="G137" s="4"/>
      <c r="H137" s="4"/>
      <c r="I137" s="39"/>
      <c r="J137" s="39"/>
      <c r="K137" s="39"/>
    </row>
    <row r="138" spans="1:11" x14ac:dyDescent="0.35">
      <c r="A138" s="4">
        <v>121</v>
      </c>
      <c r="B138" s="78"/>
      <c r="C138" s="4" t="s">
        <v>257</v>
      </c>
      <c r="D138" s="4" t="s">
        <v>264</v>
      </c>
      <c r="E138" s="4" t="s">
        <v>264</v>
      </c>
      <c r="F138" s="4"/>
      <c r="G138" s="4"/>
      <c r="H138" s="4"/>
      <c r="I138" s="39"/>
      <c r="J138" s="39"/>
      <c r="K138" s="39"/>
    </row>
    <row r="139" spans="1:11" x14ac:dyDescent="0.35">
      <c r="A139" s="4">
        <v>122</v>
      </c>
      <c r="B139" s="78"/>
      <c r="C139" s="4" t="s">
        <v>257</v>
      </c>
      <c r="D139" s="4" t="s">
        <v>264</v>
      </c>
      <c r="E139" s="4" t="s">
        <v>264</v>
      </c>
      <c r="F139" s="4"/>
      <c r="G139" s="4"/>
      <c r="H139" s="4"/>
      <c r="I139" s="39"/>
      <c r="J139" s="39"/>
      <c r="K139" s="39"/>
    </row>
    <row r="140" spans="1:11" x14ac:dyDescent="0.35">
      <c r="A140" s="4">
        <v>123</v>
      </c>
      <c r="B140" s="78"/>
      <c r="C140" s="4" t="s">
        <v>257</v>
      </c>
      <c r="D140" s="4" t="s">
        <v>264</v>
      </c>
      <c r="E140" s="4" t="s">
        <v>264</v>
      </c>
      <c r="F140" s="4"/>
      <c r="G140" s="4"/>
      <c r="H140" s="4"/>
      <c r="I140" s="39"/>
      <c r="J140" s="39"/>
      <c r="K140" s="39"/>
    </row>
    <row r="141" spans="1:11" x14ac:dyDescent="0.35">
      <c r="A141" s="4">
        <v>124</v>
      </c>
      <c r="B141" s="78"/>
      <c r="C141" s="4" t="s">
        <v>257</v>
      </c>
      <c r="D141" s="4" t="s">
        <v>264</v>
      </c>
      <c r="E141" s="4" t="s">
        <v>264</v>
      </c>
      <c r="F141" s="4"/>
      <c r="G141" s="4"/>
      <c r="H141" s="4"/>
      <c r="I141" s="39"/>
      <c r="J141" s="39"/>
      <c r="K141" s="39"/>
    </row>
    <row r="142" spans="1:11" x14ac:dyDescent="0.35">
      <c r="A142" s="4">
        <v>125</v>
      </c>
      <c r="B142" s="78"/>
      <c r="C142" s="4" t="s">
        <v>257</v>
      </c>
      <c r="D142" s="4" t="s">
        <v>264</v>
      </c>
      <c r="E142" s="4" t="s">
        <v>264</v>
      </c>
      <c r="F142" s="4"/>
      <c r="G142" s="4"/>
      <c r="H142" s="4"/>
      <c r="I142" s="39"/>
      <c r="J142" s="39"/>
      <c r="K142" s="39"/>
    </row>
    <row r="143" spans="1:11" x14ac:dyDescent="0.35">
      <c r="A143" s="4">
        <v>126</v>
      </c>
      <c r="B143" s="78"/>
      <c r="C143" s="4" t="s">
        <v>257</v>
      </c>
      <c r="D143" s="4" t="s">
        <v>264</v>
      </c>
      <c r="E143" s="4" t="s">
        <v>265</v>
      </c>
      <c r="F143" s="4"/>
      <c r="G143" s="4"/>
      <c r="H143" s="4"/>
      <c r="I143" s="39"/>
      <c r="J143" s="39"/>
      <c r="K143" s="39"/>
    </row>
    <row r="144" spans="1:11" x14ac:dyDescent="0.35">
      <c r="A144" s="4">
        <v>127</v>
      </c>
      <c r="B144" s="78"/>
      <c r="C144" s="4" t="s">
        <v>257</v>
      </c>
      <c r="D144" s="4" t="s">
        <v>264</v>
      </c>
      <c r="E144" s="4" t="s">
        <v>265</v>
      </c>
      <c r="F144" s="4"/>
      <c r="G144" s="4"/>
      <c r="H144" s="4"/>
      <c r="I144" s="39"/>
      <c r="J144" s="39"/>
      <c r="K144" s="39"/>
    </row>
    <row r="145" spans="1:11" x14ac:dyDescent="0.35">
      <c r="A145" s="4">
        <v>128</v>
      </c>
      <c r="B145" s="78"/>
      <c r="C145" s="4" t="s">
        <v>257</v>
      </c>
      <c r="D145" s="4" t="s">
        <v>264</v>
      </c>
      <c r="E145" s="4" t="s">
        <v>265</v>
      </c>
      <c r="F145" s="4"/>
      <c r="G145" s="4"/>
      <c r="H145" s="4"/>
      <c r="I145" s="39"/>
      <c r="J145" s="39"/>
      <c r="K145" s="39"/>
    </row>
    <row r="146" spans="1:11" x14ac:dyDescent="0.35">
      <c r="A146" s="4">
        <v>129</v>
      </c>
      <c r="B146" s="78"/>
      <c r="C146" s="4" t="s">
        <v>257</v>
      </c>
      <c r="D146" s="4" t="s">
        <v>264</v>
      </c>
      <c r="E146" s="4" t="s">
        <v>265</v>
      </c>
      <c r="F146" s="4"/>
      <c r="G146" s="4"/>
      <c r="H146" s="4"/>
      <c r="I146" s="39"/>
      <c r="J146" s="39"/>
      <c r="K146" s="39"/>
    </row>
    <row r="147" spans="1:11" x14ac:dyDescent="0.35">
      <c r="A147" s="98" t="s">
        <v>266</v>
      </c>
      <c r="B147" s="98"/>
      <c r="C147" s="98"/>
      <c r="D147" s="98"/>
      <c r="E147" s="98"/>
      <c r="F147" s="21"/>
      <c r="G147" s="21">
        <f>SUM(G108:G146)</f>
        <v>29</v>
      </c>
      <c r="H147" s="21"/>
      <c r="I147" s="39"/>
      <c r="J147" s="39"/>
      <c r="K147" s="39"/>
    </row>
    <row r="148" spans="1:11" x14ac:dyDescent="0.35">
      <c r="A148" s="4">
        <v>130</v>
      </c>
      <c r="B148" s="84"/>
      <c r="C148" s="4" t="s">
        <v>240</v>
      </c>
      <c r="D148" s="4" t="s">
        <v>241</v>
      </c>
      <c r="E148" s="4" t="s">
        <v>242</v>
      </c>
      <c r="F148" s="5" t="s">
        <v>267</v>
      </c>
      <c r="G148" s="5">
        <v>15</v>
      </c>
      <c r="H148" s="43">
        <v>14.94</v>
      </c>
      <c r="I148" s="38" t="s">
        <v>268</v>
      </c>
      <c r="J148" s="39"/>
      <c r="K148" s="39"/>
    </row>
    <row r="149" spans="1:11" x14ac:dyDescent="0.35">
      <c r="A149" s="4">
        <v>131</v>
      </c>
      <c r="B149" s="84"/>
      <c r="C149" s="4" t="s">
        <v>240</v>
      </c>
      <c r="D149" s="4" t="s">
        <v>241</v>
      </c>
      <c r="E149" s="4" t="s">
        <v>242</v>
      </c>
      <c r="F149" s="5" t="s">
        <v>269</v>
      </c>
      <c r="G149" s="5">
        <v>10</v>
      </c>
      <c r="H149" s="43">
        <v>10.029999999999999</v>
      </c>
      <c r="I149" s="38" t="s">
        <v>270</v>
      </c>
      <c r="J149" s="39"/>
      <c r="K149" s="39"/>
    </row>
    <row r="150" spans="1:11" x14ac:dyDescent="0.35">
      <c r="A150" s="4"/>
      <c r="B150" s="84"/>
      <c r="C150" s="4" t="s">
        <v>240</v>
      </c>
      <c r="D150" s="4" t="s">
        <v>241</v>
      </c>
      <c r="E150" s="4" t="s">
        <v>242</v>
      </c>
      <c r="F150" s="5" t="s">
        <v>271</v>
      </c>
      <c r="G150" s="5">
        <v>9</v>
      </c>
      <c r="H150" s="5">
        <v>9.19</v>
      </c>
      <c r="I150" s="38" t="s">
        <v>272</v>
      </c>
      <c r="J150" s="39"/>
      <c r="K150" s="39"/>
    </row>
    <row r="151" spans="1:11" x14ac:dyDescent="0.35">
      <c r="A151" s="4">
        <v>132</v>
      </c>
      <c r="B151" s="84"/>
      <c r="C151" s="4" t="s">
        <v>240</v>
      </c>
      <c r="D151" s="4" t="s">
        <v>241</v>
      </c>
      <c r="E151" s="4" t="s">
        <v>242</v>
      </c>
      <c r="F151" s="5" t="s">
        <v>273</v>
      </c>
      <c r="G151" s="5">
        <v>23</v>
      </c>
      <c r="H151" s="5">
        <v>9.4</v>
      </c>
      <c r="I151" s="64"/>
      <c r="J151" s="39"/>
      <c r="K151" s="39"/>
    </row>
    <row r="152" spans="1:11" x14ac:dyDescent="0.35">
      <c r="A152" s="4">
        <v>133</v>
      </c>
      <c r="B152" s="84"/>
      <c r="C152" s="4" t="s">
        <v>240</v>
      </c>
      <c r="D152" s="4" t="s">
        <v>241</v>
      </c>
      <c r="E152" s="4" t="s">
        <v>243</v>
      </c>
      <c r="F152" s="4"/>
      <c r="G152" s="4"/>
      <c r="H152" s="5"/>
      <c r="I152" s="39"/>
      <c r="J152" s="39"/>
      <c r="K152" s="39"/>
    </row>
    <row r="153" spans="1:11" x14ac:dyDescent="0.35">
      <c r="A153" s="4"/>
      <c r="B153" s="84"/>
      <c r="C153" s="4" t="s">
        <v>240</v>
      </c>
      <c r="D153" s="4" t="s">
        <v>240</v>
      </c>
      <c r="E153" s="4" t="s">
        <v>244</v>
      </c>
      <c r="F153" s="5" t="s">
        <v>274</v>
      </c>
      <c r="G153" s="5">
        <v>10</v>
      </c>
      <c r="H153" s="5">
        <v>10.38</v>
      </c>
      <c r="I153" s="38" t="s">
        <v>275</v>
      </c>
      <c r="J153" s="39"/>
      <c r="K153" s="39"/>
    </row>
    <row r="154" spans="1:11" x14ac:dyDescent="0.35">
      <c r="A154" s="4">
        <v>134</v>
      </c>
      <c r="B154" s="84"/>
      <c r="C154" s="4" t="s">
        <v>240</v>
      </c>
      <c r="D154" s="4" t="s">
        <v>240</v>
      </c>
      <c r="E154" s="4" t="s">
        <v>240</v>
      </c>
      <c r="F154" s="5" t="s">
        <v>276</v>
      </c>
      <c r="G154" s="5">
        <v>7</v>
      </c>
      <c r="H154" s="5">
        <v>7.1</v>
      </c>
      <c r="I154" s="38" t="s">
        <v>277</v>
      </c>
      <c r="J154" s="39"/>
      <c r="K154" s="39"/>
    </row>
    <row r="155" spans="1:11" x14ac:dyDescent="0.35">
      <c r="A155" s="4">
        <v>135</v>
      </c>
      <c r="B155" s="84"/>
      <c r="C155" s="4" t="s">
        <v>240</v>
      </c>
      <c r="D155" s="4" t="s">
        <v>245</v>
      </c>
      <c r="E155" s="4" t="s">
        <v>246</v>
      </c>
      <c r="F155" s="5" t="s">
        <v>247</v>
      </c>
      <c r="G155" s="5">
        <v>19</v>
      </c>
      <c r="H155" s="20">
        <v>9682.2900000000009</v>
      </c>
      <c r="I155" s="41" t="s">
        <v>248</v>
      </c>
      <c r="J155" s="39"/>
      <c r="K155" s="39"/>
    </row>
    <row r="156" spans="1:11" x14ac:dyDescent="0.35">
      <c r="A156" s="4"/>
      <c r="B156" s="84"/>
      <c r="C156" s="4" t="s">
        <v>240</v>
      </c>
      <c r="D156" s="4" t="s">
        <v>245</v>
      </c>
      <c r="E156" s="4" t="s">
        <v>249</v>
      </c>
      <c r="F156" s="5" t="s">
        <v>278</v>
      </c>
      <c r="G156" s="5">
        <v>15</v>
      </c>
      <c r="H156" s="5">
        <v>15.33</v>
      </c>
      <c r="I156" s="38" t="s">
        <v>279</v>
      </c>
      <c r="J156" s="39"/>
      <c r="K156" s="39"/>
    </row>
    <row r="157" spans="1:11" x14ac:dyDescent="0.35">
      <c r="A157" s="4">
        <v>136</v>
      </c>
      <c r="B157" s="84"/>
      <c r="C157" s="4" t="s">
        <v>240</v>
      </c>
      <c r="D157" s="4" t="s">
        <v>245</v>
      </c>
      <c r="E157" s="4" t="s">
        <v>245</v>
      </c>
      <c r="F157" s="63"/>
      <c r="G157" s="63"/>
      <c r="H157" s="43"/>
      <c r="I157" s="39"/>
      <c r="J157" s="39"/>
      <c r="K157" s="39"/>
    </row>
    <row r="158" spans="1:11" x14ac:dyDescent="0.35">
      <c r="A158" s="4">
        <v>137</v>
      </c>
      <c r="B158" s="84"/>
      <c r="C158" s="4" t="s">
        <v>240</v>
      </c>
      <c r="D158" s="4" t="s">
        <v>245</v>
      </c>
      <c r="E158" s="4" t="s">
        <v>254</v>
      </c>
      <c r="F158" s="5" t="s">
        <v>255</v>
      </c>
      <c r="G158" s="5">
        <v>7.5</v>
      </c>
      <c r="H158" s="5">
        <v>7.6</v>
      </c>
      <c r="I158" s="38" t="s">
        <v>280</v>
      </c>
      <c r="J158" s="39"/>
      <c r="K158" s="39"/>
    </row>
    <row r="159" spans="1:11" x14ac:dyDescent="0.35">
      <c r="A159" s="4"/>
      <c r="B159" s="84"/>
      <c r="C159" s="4" t="s">
        <v>257</v>
      </c>
      <c r="D159" s="4" t="s">
        <v>258</v>
      </c>
      <c r="E159" s="4" t="s">
        <v>259</v>
      </c>
      <c r="F159" s="5" t="s">
        <v>281</v>
      </c>
      <c r="G159" s="5">
        <v>14.6</v>
      </c>
      <c r="H159" s="5">
        <v>15.46</v>
      </c>
      <c r="I159" s="64"/>
      <c r="J159" s="39"/>
      <c r="K159" s="39"/>
    </row>
    <row r="160" spans="1:11" x14ac:dyDescent="0.35">
      <c r="A160" s="4">
        <v>138</v>
      </c>
      <c r="B160" s="84"/>
      <c r="C160" s="4" t="s">
        <v>257</v>
      </c>
      <c r="D160" s="5" t="s">
        <v>262</v>
      </c>
      <c r="E160" s="5" t="s">
        <v>282</v>
      </c>
      <c r="F160" s="5" t="s">
        <v>283</v>
      </c>
      <c r="G160" s="5">
        <v>3.8</v>
      </c>
      <c r="H160" s="5">
        <v>3.82</v>
      </c>
      <c r="I160" s="38" t="s">
        <v>284</v>
      </c>
      <c r="J160" s="39"/>
      <c r="K160" s="39"/>
    </row>
    <row r="161" spans="1:11" x14ac:dyDescent="0.35">
      <c r="A161" s="4">
        <v>139</v>
      </c>
      <c r="B161" s="84"/>
      <c r="C161" s="4" t="s">
        <v>257</v>
      </c>
      <c r="D161" s="4" t="s">
        <v>258</v>
      </c>
      <c r="E161" s="4" t="s">
        <v>261</v>
      </c>
      <c r="F161" s="5" t="s">
        <v>285</v>
      </c>
      <c r="G161" s="5">
        <v>3.5</v>
      </c>
      <c r="H161" s="5">
        <v>3.48</v>
      </c>
      <c r="I161" s="38" t="s">
        <v>286</v>
      </c>
      <c r="J161" s="39"/>
      <c r="K161" s="39"/>
    </row>
    <row r="162" spans="1:11" x14ac:dyDescent="0.35">
      <c r="A162" s="4"/>
      <c r="B162" s="84"/>
      <c r="C162" s="4" t="s">
        <v>257</v>
      </c>
      <c r="D162" s="4" t="s">
        <v>258</v>
      </c>
      <c r="E162" s="4" t="s">
        <v>261</v>
      </c>
      <c r="F162" s="5" t="s">
        <v>287</v>
      </c>
      <c r="G162" s="5">
        <v>14.3</v>
      </c>
      <c r="H162" s="22">
        <v>8.4700000000000006</v>
      </c>
      <c r="I162" s="38" t="s">
        <v>288</v>
      </c>
      <c r="J162" s="39"/>
      <c r="K162" s="39"/>
    </row>
    <row r="163" spans="1:11" x14ac:dyDescent="0.35">
      <c r="A163" s="4">
        <v>140</v>
      </c>
      <c r="B163" s="84"/>
      <c r="C163" s="4" t="s">
        <v>257</v>
      </c>
      <c r="D163" s="4" t="s">
        <v>258</v>
      </c>
      <c r="E163" s="4" t="s">
        <v>261</v>
      </c>
      <c r="F163" s="5" t="s">
        <v>289</v>
      </c>
      <c r="G163" s="5">
        <v>0.7</v>
      </c>
      <c r="H163" s="5">
        <v>0.7</v>
      </c>
      <c r="I163" s="38" t="s">
        <v>290</v>
      </c>
      <c r="J163" s="39"/>
      <c r="K163" s="39"/>
    </row>
    <row r="164" spans="1:11" ht="13.5" customHeight="1" x14ac:dyDescent="0.35">
      <c r="A164" s="4">
        <v>141</v>
      </c>
      <c r="B164" s="84"/>
      <c r="C164" s="4" t="s">
        <v>257</v>
      </c>
      <c r="D164" s="4" t="s">
        <v>258</v>
      </c>
      <c r="E164" s="4" t="s">
        <v>261</v>
      </c>
      <c r="F164" s="5" t="s">
        <v>291</v>
      </c>
      <c r="G164" s="5">
        <v>0.4</v>
      </c>
      <c r="H164" s="5">
        <v>0.43</v>
      </c>
      <c r="I164" s="38" t="s">
        <v>292</v>
      </c>
      <c r="J164" s="74"/>
      <c r="K164" s="39"/>
    </row>
    <row r="165" spans="1:11" x14ac:dyDescent="0.35">
      <c r="A165" s="4"/>
      <c r="B165" s="84"/>
      <c r="C165" s="4" t="s">
        <v>257</v>
      </c>
      <c r="D165" s="4" t="s">
        <v>258</v>
      </c>
      <c r="E165" s="4" t="s">
        <v>261</v>
      </c>
      <c r="F165" s="5" t="s">
        <v>291</v>
      </c>
      <c r="G165" s="5">
        <v>0.4</v>
      </c>
      <c r="H165" s="20"/>
      <c r="I165" s="38" t="s">
        <v>293</v>
      </c>
      <c r="J165" s="39"/>
      <c r="K165" s="39"/>
    </row>
    <row r="166" spans="1:11" x14ac:dyDescent="0.35">
      <c r="A166" s="4">
        <v>142</v>
      </c>
      <c r="B166" s="84"/>
      <c r="C166" s="4" t="s">
        <v>257</v>
      </c>
      <c r="D166" s="4" t="s">
        <v>262</v>
      </c>
      <c r="E166" s="5" t="s">
        <v>262</v>
      </c>
      <c r="F166" s="5" t="s">
        <v>294</v>
      </c>
      <c r="G166" s="5">
        <v>1.8</v>
      </c>
      <c r="H166" s="5">
        <v>1.82</v>
      </c>
      <c r="I166" s="38" t="s">
        <v>295</v>
      </c>
      <c r="J166" s="39"/>
      <c r="K166" s="39"/>
    </row>
    <row r="167" spans="1:11" x14ac:dyDescent="0.35">
      <c r="A167" s="4">
        <v>143</v>
      </c>
      <c r="B167" s="84"/>
      <c r="C167" s="4" t="s">
        <v>257</v>
      </c>
      <c r="D167" s="4" t="s">
        <v>262</v>
      </c>
      <c r="E167" s="4" t="s">
        <v>263</v>
      </c>
      <c r="F167" s="5" t="s">
        <v>296</v>
      </c>
      <c r="G167" s="5">
        <v>21</v>
      </c>
      <c r="H167" s="5">
        <v>21.01</v>
      </c>
      <c r="I167" s="38" t="s">
        <v>297</v>
      </c>
      <c r="J167" s="113" t="s">
        <v>298</v>
      </c>
      <c r="K167" s="39"/>
    </row>
    <row r="168" spans="1:11" x14ac:dyDescent="0.35">
      <c r="A168" s="4"/>
      <c r="B168" s="84"/>
      <c r="C168" s="4" t="s">
        <v>257</v>
      </c>
      <c r="D168" s="5" t="s">
        <v>258</v>
      </c>
      <c r="E168" s="5" t="s">
        <v>261</v>
      </c>
      <c r="F168" s="5" t="s">
        <v>299</v>
      </c>
      <c r="G168" s="5">
        <v>45</v>
      </c>
      <c r="H168" s="22">
        <v>21.01</v>
      </c>
      <c r="I168" s="38" t="s">
        <v>300</v>
      </c>
      <c r="J168" s="114"/>
      <c r="K168" s="39"/>
    </row>
    <row r="169" spans="1:11" x14ac:dyDescent="0.35">
      <c r="A169" s="4">
        <v>144</v>
      </c>
      <c r="B169" s="84"/>
      <c r="C169" s="4" t="s">
        <v>257</v>
      </c>
      <c r="D169" s="4" t="s">
        <v>264</v>
      </c>
      <c r="E169" s="4" t="s">
        <v>264</v>
      </c>
      <c r="F169" s="4"/>
      <c r="G169" s="4"/>
      <c r="H169" s="99" t="s">
        <v>301</v>
      </c>
      <c r="I169" s="39"/>
      <c r="J169" s="39"/>
      <c r="K169" s="39"/>
    </row>
    <row r="170" spans="1:11" x14ac:dyDescent="0.35">
      <c r="A170" s="4">
        <v>145</v>
      </c>
      <c r="B170" s="84"/>
      <c r="C170" s="4" t="s">
        <v>257</v>
      </c>
      <c r="D170" s="4" t="s">
        <v>264</v>
      </c>
      <c r="E170" s="4" t="s">
        <v>264</v>
      </c>
      <c r="F170" s="4"/>
      <c r="G170" s="4"/>
      <c r="H170" s="99"/>
      <c r="I170" s="39"/>
      <c r="J170" s="39"/>
      <c r="K170" s="39"/>
    </row>
    <row r="171" spans="1:11" x14ac:dyDescent="0.35">
      <c r="A171" s="4"/>
      <c r="B171" s="84"/>
      <c r="C171" s="4" t="s">
        <v>257</v>
      </c>
      <c r="D171" s="4" t="s">
        <v>264</v>
      </c>
      <c r="E171" s="4" t="s">
        <v>264</v>
      </c>
      <c r="F171" s="4"/>
      <c r="G171" s="4"/>
      <c r="H171" s="99"/>
      <c r="I171" s="39"/>
      <c r="J171" s="39"/>
      <c r="K171" s="39"/>
    </row>
    <row r="172" spans="1:11" x14ac:dyDescent="0.35">
      <c r="A172" s="4">
        <v>146</v>
      </c>
      <c r="B172" s="84"/>
      <c r="C172" s="4" t="s">
        <v>257</v>
      </c>
      <c r="D172" s="4" t="s">
        <v>264</v>
      </c>
      <c r="E172" s="4" t="s">
        <v>264</v>
      </c>
      <c r="F172" s="4"/>
      <c r="G172" s="4"/>
      <c r="H172" s="99"/>
      <c r="I172" s="39"/>
      <c r="J172" s="39"/>
      <c r="K172" s="39"/>
    </row>
    <row r="173" spans="1:11" x14ac:dyDescent="0.35">
      <c r="A173" s="4">
        <v>147</v>
      </c>
      <c r="B173" s="84"/>
      <c r="C173" s="4" t="s">
        <v>257</v>
      </c>
      <c r="D173" s="4" t="s">
        <v>264</v>
      </c>
      <c r="E173" s="4" t="s">
        <v>264</v>
      </c>
      <c r="F173" s="4"/>
      <c r="G173" s="4"/>
      <c r="H173" s="99"/>
      <c r="I173" s="39"/>
      <c r="J173" s="39"/>
      <c r="K173" s="39"/>
    </row>
    <row r="174" spans="1:11" x14ac:dyDescent="0.35">
      <c r="A174" s="4"/>
      <c r="B174" s="84"/>
      <c r="C174" s="4" t="s">
        <v>257</v>
      </c>
      <c r="D174" s="4" t="s">
        <v>264</v>
      </c>
      <c r="E174" s="4" t="s">
        <v>264</v>
      </c>
      <c r="F174" s="4"/>
      <c r="G174" s="4"/>
      <c r="H174" s="99"/>
      <c r="I174" s="39"/>
      <c r="J174" s="39"/>
      <c r="K174" s="39"/>
    </row>
    <row r="175" spans="1:11" x14ac:dyDescent="0.35">
      <c r="A175" s="4">
        <v>148</v>
      </c>
      <c r="B175" s="84"/>
      <c r="C175" s="4" t="s">
        <v>257</v>
      </c>
      <c r="D175" s="4" t="s">
        <v>264</v>
      </c>
      <c r="E175" s="4" t="s">
        <v>264</v>
      </c>
      <c r="F175" s="5" t="s">
        <v>302</v>
      </c>
      <c r="G175" s="5">
        <v>4.2</v>
      </c>
      <c r="H175" s="22">
        <v>1.71</v>
      </c>
      <c r="I175" s="38" t="s">
        <v>303</v>
      </c>
      <c r="J175" s="39"/>
      <c r="K175" s="39"/>
    </row>
    <row r="176" spans="1:11" x14ac:dyDescent="0.35">
      <c r="A176" s="4">
        <v>149</v>
      </c>
      <c r="B176" s="84"/>
      <c r="C176" s="4" t="s">
        <v>257</v>
      </c>
      <c r="D176" s="4" t="s">
        <v>264</v>
      </c>
      <c r="E176" s="4" t="s">
        <v>264</v>
      </c>
      <c r="F176" s="4"/>
      <c r="G176" s="4"/>
      <c r="H176" s="100" t="s">
        <v>301</v>
      </c>
      <c r="I176" s="39"/>
      <c r="J176" s="39"/>
      <c r="K176" s="39"/>
    </row>
    <row r="177" spans="1:11" x14ac:dyDescent="0.35">
      <c r="A177" s="4"/>
      <c r="B177" s="84"/>
      <c r="C177" s="4" t="s">
        <v>257</v>
      </c>
      <c r="D177" s="4" t="s">
        <v>264</v>
      </c>
      <c r="E177" s="4" t="s">
        <v>264</v>
      </c>
      <c r="F177" s="4"/>
      <c r="G177" s="4"/>
      <c r="H177" s="100"/>
      <c r="I177" s="39"/>
      <c r="J177" s="39"/>
      <c r="K177" s="39"/>
    </row>
    <row r="178" spans="1:11" x14ac:dyDescent="0.35">
      <c r="A178" s="4">
        <v>150</v>
      </c>
      <c r="B178" s="84"/>
      <c r="C178" s="4" t="s">
        <v>257</v>
      </c>
      <c r="D178" s="4" t="s">
        <v>264</v>
      </c>
      <c r="E178" s="4" t="s">
        <v>264</v>
      </c>
      <c r="F178" s="4"/>
      <c r="G178" s="4"/>
      <c r="H178" s="99" t="s">
        <v>301</v>
      </c>
      <c r="I178" s="39"/>
      <c r="J178" s="39"/>
      <c r="K178" s="39"/>
    </row>
    <row r="179" spans="1:11" x14ac:dyDescent="0.35">
      <c r="A179" s="4">
        <v>151</v>
      </c>
      <c r="B179" s="84"/>
      <c r="C179" s="4" t="s">
        <v>257</v>
      </c>
      <c r="D179" s="4" t="s">
        <v>264</v>
      </c>
      <c r="E179" s="4" t="s">
        <v>264</v>
      </c>
      <c r="F179" s="4"/>
      <c r="G179" s="4"/>
      <c r="H179" s="99"/>
      <c r="I179" s="39"/>
      <c r="J179" s="39"/>
      <c r="K179" s="39"/>
    </row>
    <row r="180" spans="1:11" x14ac:dyDescent="0.35">
      <c r="A180" s="4"/>
      <c r="B180" s="84"/>
      <c r="C180" s="4" t="s">
        <v>257</v>
      </c>
      <c r="D180" s="4" t="s">
        <v>264</v>
      </c>
      <c r="E180" s="4" t="s">
        <v>264</v>
      </c>
      <c r="F180" s="4"/>
      <c r="G180" s="4"/>
      <c r="H180" s="99"/>
      <c r="I180" s="39"/>
      <c r="J180" s="39"/>
      <c r="K180" s="39"/>
    </row>
    <row r="181" spans="1:11" x14ac:dyDescent="0.35">
      <c r="A181" s="4">
        <v>152</v>
      </c>
      <c r="B181" s="84"/>
      <c r="C181" s="4" t="s">
        <v>257</v>
      </c>
      <c r="D181" s="4" t="s">
        <v>264</v>
      </c>
      <c r="E181" s="4" t="s">
        <v>264</v>
      </c>
      <c r="F181" s="4"/>
      <c r="G181" s="4"/>
      <c r="H181" s="99"/>
      <c r="I181" s="39"/>
      <c r="J181" s="39"/>
      <c r="K181" s="39"/>
    </row>
    <row r="182" spans="1:11" ht="17.149999999999999" customHeight="1" x14ac:dyDescent="0.35">
      <c r="A182" s="4">
        <v>153</v>
      </c>
      <c r="B182" s="84"/>
      <c r="C182" s="4" t="s">
        <v>257</v>
      </c>
      <c r="D182" s="4" t="s">
        <v>264</v>
      </c>
      <c r="E182" s="4" t="s">
        <v>264</v>
      </c>
      <c r="F182" s="5" t="s">
        <v>304</v>
      </c>
      <c r="G182" s="5">
        <v>20.9</v>
      </c>
      <c r="H182" s="22">
        <v>8.4700000000000006</v>
      </c>
      <c r="I182" s="38" t="s">
        <v>305</v>
      </c>
      <c r="J182" s="39"/>
      <c r="K182" s="39"/>
    </row>
    <row r="183" spans="1:11" x14ac:dyDescent="0.35">
      <c r="A183" s="4"/>
      <c r="B183" s="84"/>
      <c r="C183" s="4" t="s">
        <v>257</v>
      </c>
      <c r="D183" s="4" t="s">
        <v>264</v>
      </c>
      <c r="E183" s="4" t="s">
        <v>265</v>
      </c>
      <c r="F183" s="5" t="s">
        <v>306</v>
      </c>
      <c r="G183" s="5">
        <v>2.2999999999999998</v>
      </c>
      <c r="H183" s="5">
        <v>2.38</v>
      </c>
      <c r="I183" s="41" t="s">
        <v>307</v>
      </c>
      <c r="J183" s="39"/>
      <c r="K183" s="39"/>
    </row>
    <row r="184" spans="1:11" x14ac:dyDescent="0.35">
      <c r="A184" s="4">
        <v>154</v>
      </c>
      <c r="B184" s="84"/>
      <c r="C184" s="4" t="s">
        <v>257</v>
      </c>
      <c r="D184" s="4" t="s">
        <v>264</v>
      </c>
      <c r="E184" s="5" t="s">
        <v>308</v>
      </c>
      <c r="F184" s="5" t="s">
        <v>309</v>
      </c>
      <c r="G184" s="5">
        <v>10.3</v>
      </c>
      <c r="H184" s="5">
        <v>13.88</v>
      </c>
      <c r="I184" s="64"/>
      <c r="J184" s="39"/>
      <c r="K184" s="103"/>
    </row>
    <row r="185" spans="1:11" x14ac:dyDescent="0.35">
      <c r="A185" s="4">
        <v>155</v>
      </c>
      <c r="B185" s="84"/>
      <c r="C185" s="4" t="s">
        <v>257</v>
      </c>
      <c r="D185" s="4" t="s">
        <v>264</v>
      </c>
      <c r="E185" s="5" t="s">
        <v>308</v>
      </c>
      <c r="F185" s="5" t="s">
        <v>309</v>
      </c>
      <c r="G185" s="5">
        <v>11.1</v>
      </c>
      <c r="H185" s="5">
        <v>12</v>
      </c>
      <c r="I185" s="64"/>
      <c r="J185" s="39"/>
      <c r="K185" s="103"/>
    </row>
    <row r="186" spans="1:11" ht="28" customHeight="1" x14ac:dyDescent="0.35">
      <c r="A186" s="4">
        <v>156</v>
      </c>
      <c r="B186" s="84"/>
      <c r="C186" s="4" t="s">
        <v>257</v>
      </c>
      <c r="D186" s="4" t="s">
        <v>264</v>
      </c>
      <c r="E186" s="5" t="s">
        <v>308</v>
      </c>
      <c r="F186" s="5" t="s">
        <v>309</v>
      </c>
      <c r="G186" s="5">
        <v>6.7</v>
      </c>
      <c r="H186" s="5">
        <v>6.74</v>
      </c>
      <c r="I186" s="64"/>
      <c r="J186" s="39"/>
      <c r="K186" s="103"/>
    </row>
    <row r="187" spans="1:11" x14ac:dyDescent="0.35">
      <c r="A187" s="4" t="s">
        <v>310</v>
      </c>
      <c r="B187" s="85" t="s">
        <v>311</v>
      </c>
      <c r="C187" s="85"/>
      <c r="D187" s="85"/>
      <c r="E187" s="85"/>
      <c r="F187" s="23"/>
      <c r="G187" s="21">
        <f>SUM(G148:G186)</f>
        <v>276.50000000000006</v>
      </c>
      <c r="H187" s="23"/>
      <c r="I187" s="39"/>
      <c r="J187" s="39"/>
      <c r="K187" s="39"/>
    </row>
    <row r="188" spans="1:11" x14ac:dyDescent="0.35">
      <c r="A188" s="4"/>
      <c r="B188" s="85" t="s">
        <v>71</v>
      </c>
      <c r="C188" s="85"/>
      <c r="D188" s="85"/>
      <c r="E188" s="85"/>
      <c r="F188" s="23"/>
      <c r="G188" s="21">
        <f>G187+G147</f>
        <v>305.50000000000006</v>
      </c>
      <c r="H188" s="23"/>
      <c r="I188" s="39"/>
      <c r="J188" s="39"/>
      <c r="K188" s="39"/>
    </row>
    <row r="189" spans="1:11" ht="98.5" customHeight="1" x14ac:dyDescent="0.35">
      <c r="A189" s="4">
        <v>157</v>
      </c>
      <c r="B189" s="78" t="s">
        <v>312</v>
      </c>
      <c r="C189" s="78" t="s">
        <v>313</v>
      </c>
      <c r="D189" s="3" t="s">
        <v>313</v>
      </c>
      <c r="E189" s="3" t="s">
        <v>314</v>
      </c>
      <c r="F189" s="45" t="s">
        <v>315</v>
      </c>
      <c r="G189" s="45">
        <v>23</v>
      </c>
      <c r="H189" s="45">
        <v>23.11</v>
      </c>
      <c r="I189" s="44" t="s">
        <v>316</v>
      </c>
      <c r="J189" s="39" t="s">
        <v>17</v>
      </c>
      <c r="K189" s="39"/>
    </row>
    <row r="190" spans="1:11" ht="112.5" customHeight="1" x14ac:dyDescent="0.35">
      <c r="A190" s="4">
        <v>158</v>
      </c>
      <c r="B190" s="78"/>
      <c r="C190" s="78"/>
      <c r="D190" s="78" t="s">
        <v>317</v>
      </c>
      <c r="E190" s="78" t="s">
        <v>318</v>
      </c>
      <c r="F190" s="45" t="s">
        <v>319</v>
      </c>
      <c r="G190" s="45">
        <v>5.5</v>
      </c>
      <c r="H190" s="45">
        <v>5.61</v>
      </c>
      <c r="I190" s="44" t="s">
        <v>320</v>
      </c>
      <c r="J190" s="39" t="s">
        <v>34</v>
      </c>
      <c r="K190" s="72" t="s">
        <v>321</v>
      </c>
    </row>
    <row r="191" spans="1:11" ht="102.65" customHeight="1" x14ac:dyDescent="0.35">
      <c r="A191" s="4">
        <v>159</v>
      </c>
      <c r="B191" s="78"/>
      <c r="C191" s="78"/>
      <c r="D191" s="78"/>
      <c r="E191" s="78"/>
      <c r="F191" s="45" t="s">
        <v>322</v>
      </c>
      <c r="G191" s="45">
        <v>5</v>
      </c>
      <c r="H191" s="45">
        <v>4.91</v>
      </c>
      <c r="I191" s="44" t="s">
        <v>323</v>
      </c>
      <c r="J191" s="39" t="s">
        <v>17</v>
      </c>
      <c r="K191" s="39"/>
    </row>
    <row r="192" spans="1:11" ht="89.15" customHeight="1" x14ac:dyDescent="0.35">
      <c r="A192" s="4">
        <v>160</v>
      </c>
      <c r="B192" s="78"/>
      <c r="C192" s="78"/>
      <c r="D192" s="78"/>
      <c r="E192" s="3" t="s">
        <v>324</v>
      </c>
      <c r="F192" s="45" t="s">
        <v>325</v>
      </c>
      <c r="G192" s="45">
        <v>4.5</v>
      </c>
      <c r="H192" s="45">
        <v>4.7</v>
      </c>
      <c r="I192" s="44" t="s">
        <v>326</v>
      </c>
      <c r="J192" s="39" t="s">
        <v>17</v>
      </c>
      <c r="K192" s="39"/>
    </row>
    <row r="193" spans="1:11" x14ac:dyDescent="0.35">
      <c r="A193" s="4">
        <v>161</v>
      </c>
      <c r="B193" s="78"/>
      <c r="C193" s="78" t="s">
        <v>327</v>
      </c>
      <c r="D193" s="84" t="s">
        <v>328</v>
      </c>
      <c r="E193" s="4" t="s">
        <v>328</v>
      </c>
      <c r="F193" s="5" t="s">
        <v>329</v>
      </c>
      <c r="G193" s="5">
        <v>10</v>
      </c>
      <c r="H193" s="97" t="s">
        <v>330</v>
      </c>
      <c r="I193" s="39"/>
      <c r="J193" s="39"/>
      <c r="K193" s="39"/>
    </row>
    <row r="194" spans="1:11" x14ac:dyDescent="0.35">
      <c r="A194" s="4">
        <v>162</v>
      </c>
      <c r="B194" s="78"/>
      <c r="C194" s="78"/>
      <c r="D194" s="84"/>
      <c r="E194" s="4" t="s">
        <v>331</v>
      </c>
      <c r="F194" s="5" t="s">
        <v>332</v>
      </c>
      <c r="G194" s="5">
        <v>10</v>
      </c>
      <c r="H194" s="97"/>
      <c r="I194" s="39"/>
      <c r="J194" s="39"/>
      <c r="K194" s="39"/>
    </row>
    <row r="195" spans="1:11" x14ac:dyDescent="0.35">
      <c r="A195" s="4">
        <v>163</v>
      </c>
      <c r="B195" s="78"/>
      <c r="C195" s="96" t="s">
        <v>311</v>
      </c>
      <c r="D195" s="96"/>
      <c r="E195" s="96"/>
      <c r="F195" s="24"/>
      <c r="G195" s="25">
        <f>SUM(G189:G194)</f>
        <v>58</v>
      </c>
      <c r="H195" s="24"/>
      <c r="I195" s="39"/>
      <c r="J195" s="39"/>
      <c r="K195" s="39"/>
    </row>
    <row r="196" spans="1:11" ht="87" x14ac:dyDescent="0.35">
      <c r="A196" s="4">
        <v>164</v>
      </c>
      <c r="B196" s="78"/>
      <c r="C196" s="78" t="s">
        <v>313</v>
      </c>
      <c r="D196" s="78" t="s">
        <v>313</v>
      </c>
      <c r="E196" s="3" t="s">
        <v>333</v>
      </c>
      <c r="F196" s="45" t="s">
        <v>334</v>
      </c>
      <c r="G196" s="45">
        <v>11</v>
      </c>
      <c r="H196" s="45">
        <v>11.07</v>
      </c>
      <c r="I196" s="44" t="s">
        <v>335</v>
      </c>
      <c r="J196" s="39"/>
      <c r="K196" s="39"/>
    </row>
    <row r="197" spans="1:11" ht="88.5" customHeight="1" x14ac:dyDescent="0.35">
      <c r="A197" s="4">
        <v>165</v>
      </c>
      <c r="B197" s="78"/>
      <c r="C197" s="78"/>
      <c r="D197" s="78"/>
      <c r="E197" s="3" t="s">
        <v>336</v>
      </c>
      <c r="F197" s="45" t="s">
        <v>337</v>
      </c>
      <c r="G197" s="45">
        <v>9</v>
      </c>
      <c r="H197" s="45">
        <v>9.34</v>
      </c>
      <c r="I197" s="44" t="s">
        <v>338</v>
      </c>
      <c r="J197" s="39"/>
      <c r="K197" s="39"/>
    </row>
    <row r="198" spans="1:11" ht="119.5" customHeight="1" x14ac:dyDescent="0.35">
      <c r="A198" s="4">
        <v>166</v>
      </c>
      <c r="B198" s="78"/>
      <c r="C198" s="78" t="s">
        <v>327</v>
      </c>
      <c r="D198" s="3" t="s">
        <v>317</v>
      </c>
      <c r="E198" s="3" t="s">
        <v>318</v>
      </c>
      <c r="F198" s="45" t="s">
        <v>319</v>
      </c>
      <c r="G198" s="45">
        <v>6</v>
      </c>
      <c r="H198" s="45">
        <v>6.18</v>
      </c>
      <c r="I198" s="46" t="s">
        <v>339</v>
      </c>
      <c r="J198" s="39"/>
      <c r="K198" s="39"/>
    </row>
    <row r="199" spans="1:11" ht="17.149999999999999" customHeight="1" x14ac:dyDescent="0.35">
      <c r="A199" s="4">
        <v>167</v>
      </c>
      <c r="B199" s="78"/>
      <c r="C199" s="78"/>
      <c r="D199" s="4" t="s">
        <v>328</v>
      </c>
      <c r="E199" s="4" t="s">
        <v>328</v>
      </c>
      <c r="F199" s="5" t="s">
        <v>329</v>
      </c>
      <c r="G199" s="5">
        <v>10</v>
      </c>
      <c r="H199" s="22" t="s">
        <v>330</v>
      </c>
      <c r="I199" s="39"/>
      <c r="J199" s="39"/>
      <c r="K199" s="39"/>
    </row>
    <row r="200" spans="1:11" x14ac:dyDescent="0.35">
      <c r="A200" s="4"/>
      <c r="B200" s="78"/>
      <c r="C200" s="96" t="s">
        <v>266</v>
      </c>
      <c r="D200" s="96"/>
      <c r="E200" s="96"/>
      <c r="F200" s="24"/>
      <c r="G200" s="25">
        <f>SUM(G196:G199)</f>
        <v>36</v>
      </c>
      <c r="H200" s="96"/>
      <c r="I200" s="39"/>
      <c r="J200" s="39"/>
      <c r="K200" s="39"/>
    </row>
    <row r="201" spans="1:11" x14ac:dyDescent="0.35">
      <c r="A201" s="4"/>
      <c r="B201" s="4"/>
      <c r="C201" s="96" t="s">
        <v>238</v>
      </c>
      <c r="D201" s="96"/>
      <c r="E201" s="96"/>
      <c r="F201" s="24"/>
      <c r="G201" s="25">
        <f>G200+G195</f>
        <v>94</v>
      </c>
      <c r="H201" s="96"/>
      <c r="I201" s="39"/>
      <c r="J201" s="39"/>
      <c r="K201" s="39"/>
    </row>
    <row r="202" spans="1:11" ht="17.5" customHeight="1" x14ac:dyDescent="0.35">
      <c r="A202" s="4">
        <v>168</v>
      </c>
      <c r="B202" s="80" t="s">
        <v>340</v>
      </c>
      <c r="C202" s="80" t="s">
        <v>341</v>
      </c>
      <c r="D202" s="80" t="s">
        <v>342</v>
      </c>
      <c r="E202" s="4" t="s">
        <v>342</v>
      </c>
      <c r="F202" s="5" t="s">
        <v>343</v>
      </c>
      <c r="G202" s="5">
        <v>5</v>
      </c>
      <c r="H202" s="11">
        <v>5.29</v>
      </c>
      <c r="I202" s="51" t="s">
        <v>344</v>
      </c>
      <c r="J202" s="39"/>
      <c r="K202" s="39"/>
    </row>
    <row r="203" spans="1:11" x14ac:dyDescent="0.35">
      <c r="A203" s="4">
        <v>169</v>
      </c>
      <c r="B203" s="111"/>
      <c r="C203" s="111"/>
      <c r="D203" s="111"/>
      <c r="E203" s="4" t="s">
        <v>342</v>
      </c>
      <c r="F203" s="5" t="s">
        <v>345</v>
      </c>
      <c r="G203" s="5">
        <v>5</v>
      </c>
      <c r="H203" s="11">
        <v>5.19</v>
      </c>
      <c r="I203" s="51" t="s">
        <v>346</v>
      </c>
      <c r="J203" s="39"/>
      <c r="K203" s="39"/>
    </row>
    <row r="204" spans="1:11" x14ac:dyDescent="0.35">
      <c r="A204" s="4">
        <v>170</v>
      </c>
      <c r="B204" s="111"/>
      <c r="C204" s="111"/>
      <c r="D204" s="111"/>
      <c r="E204" s="4" t="s">
        <v>347</v>
      </c>
      <c r="F204" s="5" t="s">
        <v>348</v>
      </c>
      <c r="G204" s="5">
        <v>10</v>
      </c>
      <c r="H204" s="11">
        <v>10.27</v>
      </c>
      <c r="I204" s="51" t="s">
        <v>349</v>
      </c>
      <c r="J204" s="39"/>
      <c r="K204" s="39"/>
    </row>
    <row r="205" spans="1:11" x14ac:dyDescent="0.35">
      <c r="A205" s="4">
        <v>171</v>
      </c>
      <c r="B205" s="111"/>
      <c r="C205" s="111"/>
      <c r="D205" s="111"/>
      <c r="E205" s="4" t="s">
        <v>350</v>
      </c>
      <c r="F205" s="5" t="s">
        <v>351</v>
      </c>
      <c r="G205" s="5">
        <v>5</v>
      </c>
      <c r="H205" s="5">
        <v>5.23</v>
      </c>
      <c r="I205" s="51" t="s">
        <v>352</v>
      </c>
      <c r="J205" s="39"/>
      <c r="K205" s="39"/>
    </row>
    <row r="206" spans="1:11" x14ac:dyDescent="0.35">
      <c r="A206" s="4">
        <v>172</v>
      </c>
      <c r="B206" s="111"/>
      <c r="C206" s="111"/>
      <c r="D206" s="111"/>
      <c r="E206" s="4" t="s">
        <v>350</v>
      </c>
      <c r="F206" s="5" t="s">
        <v>353</v>
      </c>
      <c r="G206" s="5">
        <v>10</v>
      </c>
      <c r="H206" s="5">
        <v>10.25</v>
      </c>
      <c r="I206" s="51" t="s">
        <v>354</v>
      </c>
      <c r="J206" s="39"/>
      <c r="K206" s="39"/>
    </row>
    <row r="207" spans="1:11" x14ac:dyDescent="0.35">
      <c r="A207" s="4">
        <v>173</v>
      </c>
      <c r="B207" s="111"/>
      <c r="C207" s="111"/>
      <c r="D207" s="111"/>
      <c r="E207" s="4" t="s">
        <v>350</v>
      </c>
      <c r="F207" s="65"/>
      <c r="G207" s="63"/>
      <c r="H207" s="43"/>
      <c r="I207" s="39"/>
      <c r="J207" s="39"/>
      <c r="K207" s="39"/>
    </row>
    <row r="208" spans="1:11" x14ac:dyDescent="0.35">
      <c r="A208" s="4">
        <v>174</v>
      </c>
      <c r="B208" s="111"/>
      <c r="C208" s="111"/>
      <c r="D208" s="111"/>
      <c r="E208" s="4" t="s">
        <v>355</v>
      </c>
      <c r="F208" s="5" t="s">
        <v>356</v>
      </c>
      <c r="G208" s="5">
        <v>10</v>
      </c>
      <c r="H208" s="11">
        <v>10.16</v>
      </c>
      <c r="I208" s="51" t="s">
        <v>357</v>
      </c>
      <c r="J208" s="39"/>
      <c r="K208" s="39"/>
    </row>
    <row r="209" spans="1:11" x14ac:dyDescent="0.35">
      <c r="A209" s="4">
        <v>175</v>
      </c>
      <c r="B209" s="111"/>
      <c r="C209" s="111"/>
      <c r="D209" s="81"/>
      <c r="E209" s="4" t="s">
        <v>355</v>
      </c>
      <c r="F209" s="5" t="s">
        <v>358</v>
      </c>
      <c r="G209" s="5">
        <v>10</v>
      </c>
      <c r="H209" s="11">
        <v>10.210000000000001</v>
      </c>
      <c r="I209" s="51" t="s">
        <v>359</v>
      </c>
      <c r="J209" s="39"/>
      <c r="K209" s="39"/>
    </row>
    <row r="210" spans="1:11" x14ac:dyDescent="0.35">
      <c r="A210" s="4">
        <v>176</v>
      </c>
      <c r="B210" s="111"/>
      <c r="C210" s="111"/>
      <c r="D210" s="4" t="s">
        <v>360</v>
      </c>
      <c r="E210" s="4" t="s">
        <v>361</v>
      </c>
      <c r="F210" s="43"/>
      <c r="G210" s="43"/>
      <c r="H210" s="43"/>
      <c r="I210" s="39"/>
      <c r="J210" s="39"/>
      <c r="K210" s="39"/>
    </row>
    <row r="211" spans="1:11" x14ac:dyDescent="0.35">
      <c r="A211" s="4">
        <v>177</v>
      </c>
      <c r="B211" s="111"/>
      <c r="C211" s="111"/>
      <c r="D211" s="4"/>
      <c r="E211" s="4" t="s">
        <v>361</v>
      </c>
      <c r="F211" s="43"/>
      <c r="G211" s="43"/>
      <c r="H211" s="43"/>
      <c r="I211" s="39"/>
      <c r="J211" s="39"/>
      <c r="K211" s="39"/>
    </row>
    <row r="212" spans="1:11" x14ac:dyDescent="0.35">
      <c r="A212" s="4"/>
      <c r="B212" s="111"/>
      <c r="C212" s="111"/>
      <c r="D212" s="4"/>
      <c r="E212" s="4" t="s">
        <v>362</v>
      </c>
      <c r="F212" s="5" t="s">
        <v>363</v>
      </c>
      <c r="G212" s="5">
        <v>18</v>
      </c>
      <c r="H212" s="5">
        <v>18.79</v>
      </c>
      <c r="I212" s="51" t="s">
        <v>364</v>
      </c>
      <c r="J212" s="39"/>
      <c r="K212" s="39"/>
    </row>
    <row r="213" spans="1:11" x14ac:dyDescent="0.35">
      <c r="A213" s="4">
        <v>178</v>
      </c>
      <c r="B213" s="111"/>
      <c r="C213" s="111"/>
      <c r="D213" s="4"/>
      <c r="E213" s="4" t="s">
        <v>362</v>
      </c>
      <c r="F213" s="5" t="s">
        <v>363</v>
      </c>
      <c r="G213" s="5">
        <v>12</v>
      </c>
      <c r="H213" s="43">
        <v>12.57</v>
      </c>
      <c r="I213" s="41" t="s">
        <v>365</v>
      </c>
      <c r="J213" s="39"/>
      <c r="K213" s="39"/>
    </row>
    <row r="214" spans="1:11" x14ac:dyDescent="0.35">
      <c r="A214" s="4">
        <v>179</v>
      </c>
      <c r="B214" s="111"/>
      <c r="C214" s="111"/>
      <c r="D214" s="4"/>
      <c r="E214" s="4" t="s">
        <v>362</v>
      </c>
      <c r="F214" s="5" t="s">
        <v>366</v>
      </c>
      <c r="G214" s="5">
        <v>10</v>
      </c>
      <c r="H214" s="43">
        <v>10.28</v>
      </c>
      <c r="I214" s="41" t="s">
        <v>367</v>
      </c>
      <c r="J214" s="39"/>
      <c r="K214" s="39"/>
    </row>
    <row r="215" spans="1:11" x14ac:dyDescent="0.35">
      <c r="A215" s="4">
        <v>180</v>
      </c>
      <c r="B215" s="111"/>
      <c r="C215" s="111"/>
      <c r="D215" s="53" t="s">
        <v>368</v>
      </c>
      <c r="E215" s="4" t="s">
        <v>369</v>
      </c>
      <c r="F215" s="5" t="s">
        <v>370</v>
      </c>
      <c r="G215" s="5">
        <v>5</v>
      </c>
      <c r="H215" s="5">
        <v>5.13</v>
      </c>
      <c r="I215" s="51" t="s">
        <v>371</v>
      </c>
      <c r="J215" s="39"/>
      <c r="K215" s="39"/>
    </row>
    <row r="216" spans="1:11" x14ac:dyDescent="0.35">
      <c r="A216" s="4"/>
      <c r="B216" s="111"/>
      <c r="C216" s="112"/>
      <c r="D216" s="52"/>
      <c r="E216" s="4"/>
      <c r="F216" s="4"/>
      <c r="G216" s="4"/>
      <c r="H216" s="5"/>
      <c r="I216" s="39"/>
      <c r="J216" s="39"/>
      <c r="K216" s="39"/>
    </row>
    <row r="217" spans="1:11" x14ac:dyDescent="0.35">
      <c r="A217" s="4">
        <v>181</v>
      </c>
      <c r="B217" s="111"/>
      <c r="C217" s="80" t="s">
        <v>372</v>
      </c>
      <c r="D217" s="115" t="s">
        <v>373</v>
      </c>
      <c r="E217" s="4" t="s">
        <v>374</v>
      </c>
      <c r="F217" s="63"/>
      <c r="G217" s="63"/>
      <c r="H217" s="43"/>
      <c r="I217" s="39"/>
      <c r="J217" s="39"/>
      <c r="K217" s="39"/>
    </row>
    <row r="218" spans="1:11" x14ac:dyDescent="0.35">
      <c r="A218" s="4">
        <v>182</v>
      </c>
      <c r="B218" s="111"/>
      <c r="C218" s="111"/>
      <c r="D218" s="91"/>
      <c r="E218" s="4" t="s">
        <v>374</v>
      </c>
      <c r="F218" s="5" t="s">
        <v>375</v>
      </c>
      <c r="G218" s="5">
        <v>5</v>
      </c>
      <c r="H218" s="5">
        <v>5.18</v>
      </c>
      <c r="I218" s="51" t="s">
        <v>376</v>
      </c>
      <c r="J218" s="39"/>
      <c r="K218" s="39"/>
    </row>
    <row r="219" spans="1:11" x14ac:dyDescent="0.35">
      <c r="A219" s="4">
        <v>183</v>
      </c>
      <c r="B219" s="111"/>
      <c r="C219" s="111"/>
      <c r="D219" s="83"/>
      <c r="E219" s="4" t="s">
        <v>377</v>
      </c>
      <c r="F219" s="5" t="s">
        <v>378</v>
      </c>
      <c r="G219" s="5">
        <v>15</v>
      </c>
      <c r="H219" s="5">
        <v>15.07</v>
      </c>
      <c r="I219" s="51" t="s">
        <v>379</v>
      </c>
      <c r="J219" s="39"/>
      <c r="K219" s="39"/>
    </row>
    <row r="220" spans="1:11" x14ac:dyDescent="0.35">
      <c r="A220" s="4">
        <v>184</v>
      </c>
      <c r="B220" s="111"/>
      <c r="C220" s="111"/>
      <c r="D220" s="84" t="s">
        <v>380</v>
      </c>
      <c r="E220" s="4" t="s">
        <v>381</v>
      </c>
      <c r="F220" s="43"/>
      <c r="G220" s="43"/>
      <c r="H220" s="43"/>
      <c r="I220" s="39"/>
      <c r="J220" s="39"/>
      <c r="K220" s="39"/>
    </row>
    <row r="221" spans="1:11" x14ac:dyDescent="0.35">
      <c r="A221" s="4">
        <v>185</v>
      </c>
      <c r="B221" s="111"/>
      <c r="C221" s="111"/>
      <c r="D221" s="84"/>
      <c r="E221" s="4" t="s">
        <v>381</v>
      </c>
      <c r="F221" s="43"/>
      <c r="G221" s="43"/>
      <c r="H221" s="43"/>
      <c r="I221" s="39"/>
      <c r="J221" s="39"/>
      <c r="K221" s="39"/>
    </row>
    <row r="222" spans="1:11" x14ac:dyDescent="0.35">
      <c r="A222" s="4">
        <v>186</v>
      </c>
      <c r="B222" s="111"/>
      <c r="C222" s="111"/>
      <c r="D222" s="84"/>
      <c r="E222" s="4" t="s">
        <v>382</v>
      </c>
      <c r="F222" s="5" t="s">
        <v>383</v>
      </c>
      <c r="G222" s="5">
        <v>5</v>
      </c>
      <c r="H222" s="5">
        <v>5.01</v>
      </c>
      <c r="I222" s="41" t="s">
        <v>384</v>
      </c>
      <c r="J222" s="39"/>
      <c r="K222" s="39"/>
    </row>
    <row r="223" spans="1:11" ht="43.5" x14ac:dyDescent="0.35">
      <c r="A223" s="4">
        <v>187</v>
      </c>
      <c r="B223" s="111"/>
      <c r="C223" s="111"/>
      <c r="D223" s="84"/>
      <c r="E223" s="3" t="s">
        <v>382</v>
      </c>
      <c r="F223" s="45" t="s">
        <v>385</v>
      </c>
      <c r="G223" s="45">
        <v>5</v>
      </c>
      <c r="H223" s="45">
        <v>5.33</v>
      </c>
      <c r="I223" s="54" t="s">
        <v>386</v>
      </c>
      <c r="J223" s="39"/>
      <c r="K223" s="39"/>
    </row>
    <row r="224" spans="1:11" x14ac:dyDescent="0.35">
      <c r="A224" s="4">
        <v>188</v>
      </c>
      <c r="B224" s="111"/>
      <c r="C224" s="111"/>
      <c r="D224" s="84"/>
      <c r="E224" s="4" t="s">
        <v>387</v>
      </c>
      <c r="F224" s="5" t="s">
        <v>388</v>
      </c>
      <c r="G224" s="5">
        <v>2</v>
      </c>
      <c r="H224" s="5">
        <v>2.91</v>
      </c>
      <c r="I224" s="51" t="s">
        <v>389</v>
      </c>
      <c r="J224" s="39"/>
      <c r="K224" s="39"/>
    </row>
    <row r="225" spans="1:11" x14ac:dyDescent="0.35">
      <c r="A225" s="4">
        <v>189</v>
      </c>
      <c r="B225" s="111"/>
      <c r="C225" s="111"/>
      <c r="D225" s="84"/>
      <c r="E225" s="4" t="s">
        <v>387</v>
      </c>
      <c r="F225" s="5" t="s">
        <v>390</v>
      </c>
      <c r="G225" s="5">
        <v>7</v>
      </c>
      <c r="H225" s="20">
        <v>5.08</v>
      </c>
      <c r="I225" s="41" t="s">
        <v>391</v>
      </c>
      <c r="J225" s="39"/>
      <c r="K225" s="39"/>
    </row>
    <row r="226" spans="1:11" x14ac:dyDescent="0.35">
      <c r="A226" s="4">
        <v>190</v>
      </c>
      <c r="B226" s="111"/>
      <c r="C226" s="111"/>
      <c r="D226" s="84"/>
      <c r="E226" s="4" t="s">
        <v>387</v>
      </c>
      <c r="F226" s="63"/>
      <c r="G226" s="63"/>
      <c r="H226" s="63"/>
      <c r="I226" s="39"/>
      <c r="J226" s="39"/>
      <c r="K226" s="39"/>
    </row>
    <row r="227" spans="1:11" x14ac:dyDescent="0.35">
      <c r="A227" s="4">
        <v>191</v>
      </c>
      <c r="B227" s="111"/>
      <c r="C227" s="111"/>
      <c r="D227" s="4" t="s">
        <v>392</v>
      </c>
      <c r="E227" s="4" t="s">
        <v>392</v>
      </c>
      <c r="F227" s="63"/>
      <c r="G227" s="63"/>
      <c r="H227" s="63"/>
      <c r="I227" s="39"/>
      <c r="J227" s="39"/>
      <c r="K227" s="39"/>
    </row>
    <row r="228" spans="1:11" x14ac:dyDescent="0.35">
      <c r="A228" s="4">
        <v>192</v>
      </c>
      <c r="B228" s="111"/>
      <c r="C228" s="111"/>
      <c r="D228" s="4"/>
      <c r="E228" s="4" t="s">
        <v>392</v>
      </c>
      <c r="F228" s="27" t="s">
        <v>393</v>
      </c>
      <c r="G228" s="27">
        <v>2</v>
      </c>
      <c r="H228" s="27">
        <v>2.83</v>
      </c>
      <c r="I228" s="51" t="s">
        <v>394</v>
      </c>
      <c r="J228" s="39"/>
      <c r="K228" s="39"/>
    </row>
    <row r="229" spans="1:11" x14ac:dyDescent="0.35">
      <c r="A229" s="4">
        <v>193</v>
      </c>
      <c r="B229" s="111"/>
      <c r="C229" s="111"/>
      <c r="D229" s="4"/>
      <c r="E229" s="4" t="s">
        <v>392</v>
      </c>
      <c r="F229" s="27" t="s">
        <v>395</v>
      </c>
      <c r="G229" s="27">
        <v>2</v>
      </c>
      <c r="H229" s="27">
        <v>2.17</v>
      </c>
      <c r="I229" s="41" t="s">
        <v>396</v>
      </c>
      <c r="J229" s="39"/>
      <c r="K229" s="39"/>
    </row>
    <row r="230" spans="1:11" x14ac:dyDescent="0.35">
      <c r="A230" s="4">
        <v>194</v>
      </c>
      <c r="B230" s="111"/>
      <c r="C230" s="111"/>
      <c r="D230" s="4"/>
      <c r="E230" s="4" t="s">
        <v>392</v>
      </c>
      <c r="F230" s="66"/>
      <c r="G230" s="66"/>
      <c r="H230" s="66"/>
      <c r="I230" s="39"/>
      <c r="J230" s="39"/>
      <c r="K230" s="39"/>
    </row>
    <row r="231" spans="1:11" x14ac:dyDescent="0.35">
      <c r="A231" s="4">
        <v>195</v>
      </c>
      <c r="B231" s="111"/>
      <c r="C231" s="111"/>
      <c r="D231" s="4"/>
      <c r="E231" s="4" t="s">
        <v>392</v>
      </c>
      <c r="F231" s="27" t="s">
        <v>397</v>
      </c>
      <c r="G231" s="27">
        <v>2</v>
      </c>
      <c r="H231" s="27">
        <v>2.5099999999999998</v>
      </c>
      <c r="I231" s="41" t="s">
        <v>398</v>
      </c>
      <c r="J231" s="39"/>
      <c r="K231" s="39"/>
    </row>
    <row r="232" spans="1:11" x14ac:dyDescent="0.35">
      <c r="A232" s="4">
        <v>196</v>
      </c>
      <c r="B232" s="111"/>
      <c r="C232" s="111"/>
      <c r="D232" s="4"/>
      <c r="E232" s="4" t="s">
        <v>392</v>
      </c>
      <c r="F232" s="27" t="s">
        <v>399</v>
      </c>
      <c r="G232" s="27">
        <v>2</v>
      </c>
      <c r="H232" s="27">
        <v>2.83</v>
      </c>
      <c r="I232" s="51" t="s">
        <v>400</v>
      </c>
      <c r="J232" s="39"/>
      <c r="K232" s="39"/>
    </row>
    <row r="233" spans="1:11" x14ac:dyDescent="0.35">
      <c r="A233" s="4"/>
      <c r="B233" s="111"/>
      <c r="C233" s="81"/>
      <c r="E233" s="4"/>
      <c r="F233" s="4"/>
      <c r="G233" s="28"/>
      <c r="H233" s="1"/>
      <c r="I233" s="1"/>
      <c r="J233" s="39"/>
      <c r="K233" s="39"/>
    </row>
    <row r="234" spans="1:11" ht="58" x14ac:dyDescent="0.35">
      <c r="A234" s="4">
        <v>197</v>
      </c>
      <c r="B234" s="111"/>
      <c r="C234" s="80" t="s">
        <v>401</v>
      </c>
      <c r="D234" s="45" t="s">
        <v>402</v>
      </c>
      <c r="E234" s="45" t="s">
        <v>403</v>
      </c>
      <c r="F234" s="45" t="s">
        <v>404</v>
      </c>
      <c r="G234" s="45">
        <v>1</v>
      </c>
      <c r="H234" s="45">
        <v>1.1200000000000001</v>
      </c>
      <c r="I234" s="55" t="s">
        <v>405</v>
      </c>
      <c r="J234" s="39"/>
      <c r="K234" s="39"/>
    </row>
    <row r="235" spans="1:11" ht="43.5" x14ac:dyDescent="0.35">
      <c r="A235" s="4">
        <v>198</v>
      </c>
      <c r="B235" s="111"/>
      <c r="C235" s="111"/>
      <c r="D235" s="45" t="s">
        <v>406</v>
      </c>
      <c r="E235" s="45" t="s">
        <v>407</v>
      </c>
      <c r="F235" s="45" t="s">
        <v>408</v>
      </c>
      <c r="G235" s="45">
        <v>10</v>
      </c>
      <c r="H235" s="45">
        <v>10.08</v>
      </c>
      <c r="I235" s="55" t="s">
        <v>409</v>
      </c>
      <c r="J235" s="39"/>
      <c r="K235" s="39"/>
    </row>
    <row r="236" spans="1:11" ht="43.5" x14ac:dyDescent="0.35">
      <c r="A236" s="4">
        <v>199</v>
      </c>
      <c r="B236" s="111"/>
      <c r="C236" s="111"/>
      <c r="D236" s="5" t="s">
        <v>406</v>
      </c>
      <c r="E236" s="5" t="s">
        <v>410</v>
      </c>
      <c r="F236" s="5" t="s">
        <v>411</v>
      </c>
      <c r="G236" s="5">
        <v>5</v>
      </c>
      <c r="H236" s="5">
        <v>5.13</v>
      </c>
      <c r="I236" s="55" t="s">
        <v>412</v>
      </c>
      <c r="J236" s="39"/>
      <c r="K236" s="39"/>
    </row>
    <row r="237" spans="1:11" ht="43.5" x14ac:dyDescent="0.35">
      <c r="A237" s="4">
        <v>200</v>
      </c>
      <c r="B237" s="111"/>
      <c r="C237" s="111"/>
      <c r="D237" s="5" t="s">
        <v>406</v>
      </c>
      <c r="E237" s="5" t="s">
        <v>413</v>
      </c>
      <c r="F237" s="5" t="s">
        <v>414</v>
      </c>
      <c r="G237" s="5">
        <v>5</v>
      </c>
      <c r="H237" s="5">
        <v>5.48</v>
      </c>
      <c r="I237" s="55" t="s">
        <v>415</v>
      </c>
      <c r="J237" s="39"/>
      <c r="K237" s="39"/>
    </row>
    <row r="238" spans="1:11" ht="43.5" x14ac:dyDescent="0.35">
      <c r="A238" s="4">
        <v>201</v>
      </c>
      <c r="B238" s="111"/>
      <c r="C238" s="111"/>
      <c r="D238" s="5" t="s">
        <v>416</v>
      </c>
      <c r="E238" s="5" t="s">
        <v>417</v>
      </c>
      <c r="F238" s="5" t="s">
        <v>418</v>
      </c>
      <c r="G238" s="5">
        <v>5</v>
      </c>
      <c r="H238" s="5">
        <v>5.34</v>
      </c>
      <c r="I238" s="55" t="s">
        <v>419</v>
      </c>
      <c r="J238" s="39"/>
      <c r="K238" s="39"/>
    </row>
    <row r="239" spans="1:11" x14ac:dyDescent="0.35">
      <c r="A239" s="4">
        <v>202</v>
      </c>
      <c r="B239" s="111"/>
      <c r="C239" s="81"/>
      <c r="D239" s="4"/>
      <c r="E239" s="5" t="s">
        <v>416</v>
      </c>
      <c r="F239" s="67"/>
      <c r="G239" s="63"/>
      <c r="H239" s="63"/>
      <c r="I239" s="39"/>
      <c r="J239" s="39"/>
      <c r="K239" s="39"/>
    </row>
    <row r="240" spans="1:11" x14ac:dyDescent="0.35">
      <c r="A240" s="4"/>
      <c r="B240" s="111"/>
      <c r="C240" s="4"/>
      <c r="D240" s="4"/>
      <c r="E240" s="4"/>
      <c r="F240" s="4"/>
      <c r="G240" s="4"/>
      <c r="H240" s="4"/>
      <c r="I240" s="39"/>
      <c r="J240" s="39"/>
      <c r="K240" s="39"/>
    </row>
    <row r="241" spans="1:11" x14ac:dyDescent="0.35">
      <c r="A241" s="4"/>
      <c r="B241" s="111"/>
      <c r="C241" s="10"/>
      <c r="D241" s="109" t="s">
        <v>266</v>
      </c>
      <c r="E241" s="110"/>
      <c r="F241" s="29"/>
      <c r="G241" s="47">
        <f>SUM(G202:G240)</f>
        <v>173</v>
      </c>
      <c r="H241" s="47"/>
      <c r="I241" s="39"/>
      <c r="J241" s="39"/>
      <c r="K241" s="39"/>
    </row>
    <row r="242" spans="1:11" s="137" customFormat="1" x14ac:dyDescent="0.35">
      <c r="A242" s="134">
        <v>203</v>
      </c>
      <c r="B242" s="111"/>
      <c r="C242" s="118" t="s">
        <v>341</v>
      </c>
      <c r="D242" s="134" t="s">
        <v>342</v>
      </c>
      <c r="E242" s="134" t="s">
        <v>342</v>
      </c>
      <c r="F242" s="135" t="s">
        <v>343</v>
      </c>
      <c r="G242" s="135">
        <v>5</v>
      </c>
      <c r="H242" s="135">
        <v>5.34</v>
      </c>
      <c r="I242" s="51" t="s">
        <v>420</v>
      </c>
      <c r="J242" s="136"/>
      <c r="K242" s="136"/>
    </row>
    <row r="243" spans="1:11" x14ac:dyDescent="0.35">
      <c r="A243" s="4">
        <v>204</v>
      </c>
      <c r="B243" s="111"/>
      <c r="C243" s="119"/>
      <c r="D243" s="4"/>
      <c r="E243" s="4" t="s">
        <v>342</v>
      </c>
      <c r="F243" s="5" t="s">
        <v>345</v>
      </c>
      <c r="G243" s="5">
        <v>5</v>
      </c>
      <c r="H243" s="5">
        <v>5.31</v>
      </c>
      <c r="I243" s="51" t="s">
        <v>421</v>
      </c>
      <c r="J243" s="39"/>
      <c r="K243" s="39"/>
    </row>
    <row r="244" spans="1:11" x14ac:dyDescent="0.35">
      <c r="A244" s="4">
        <v>205</v>
      </c>
      <c r="B244" s="111"/>
      <c r="C244" s="119"/>
      <c r="D244" s="4"/>
      <c r="E244" s="4" t="s">
        <v>347</v>
      </c>
      <c r="F244" s="5" t="s">
        <v>422</v>
      </c>
      <c r="G244" s="5">
        <v>10</v>
      </c>
      <c r="H244" s="5">
        <v>10.19</v>
      </c>
      <c r="I244" s="51" t="s">
        <v>423</v>
      </c>
      <c r="J244" s="39"/>
      <c r="K244" s="39"/>
    </row>
    <row r="245" spans="1:11" x14ac:dyDescent="0.35">
      <c r="A245" s="4">
        <v>206</v>
      </c>
      <c r="B245" s="111"/>
      <c r="C245" s="119"/>
      <c r="D245" s="4"/>
      <c r="E245" s="4" t="s">
        <v>350</v>
      </c>
      <c r="F245" s="68"/>
      <c r="G245" s="43"/>
      <c r="H245" s="43"/>
      <c r="I245" s="39"/>
      <c r="J245" s="39"/>
      <c r="K245" s="39"/>
    </row>
    <row r="246" spans="1:11" x14ac:dyDescent="0.35">
      <c r="A246" s="4">
        <v>207</v>
      </c>
      <c r="B246" s="111"/>
      <c r="C246" s="119"/>
      <c r="D246" s="4"/>
      <c r="E246" s="4" t="s">
        <v>350</v>
      </c>
      <c r="F246" s="5" t="s">
        <v>424</v>
      </c>
      <c r="G246" s="5">
        <v>15</v>
      </c>
      <c r="H246" s="5">
        <v>15.34</v>
      </c>
      <c r="I246" s="51" t="s">
        <v>425</v>
      </c>
      <c r="J246" s="39"/>
      <c r="K246" s="39"/>
    </row>
    <row r="247" spans="1:11" x14ac:dyDescent="0.35">
      <c r="A247" s="4">
        <v>208</v>
      </c>
      <c r="B247" s="111"/>
      <c r="C247" s="119"/>
      <c r="D247" s="4"/>
      <c r="E247" s="4" t="s">
        <v>350</v>
      </c>
      <c r="F247" s="68"/>
      <c r="G247" s="43"/>
      <c r="H247" s="43"/>
      <c r="I247" s="39"/>
      <c r="J247" s="39"/>
      <c r="K247" s="39"/>
    </row>
    <row r="248" spans="1:11" x14ac:dyDescent="0.35">
      <c r="A248" s="4">
        <v>209</v>
      </c>
      <c r="B248" s="111"/>
      <c r="C248" s="119"/>
      <c r="D248" s="4"/>
      <c r="E248" s="4" t="s">
        <v>355</v>
      </c>
      <c r="F248" s="5" t="s">
        <v>356</v>
      </c>
      <c r="G248" s="5">
        <v>25</v>
      </c>
      <c r="H248" s="5">
        <v>25.06</v>
      </c>
      <c r="I248" s="51" t="s">
        <v>426</v>
      </c>
      <c r="J248" s="39"/>
      <c r="K248" s="39"/>
    </row>
    <row r="249" spans="1:11" x14ac:dyDescent="0.35">
      <c r="A249" s="4">
        <v>210</v>
      </c>
      <c r="B249" s="111"/>
      <c r="C249" s="119"/>
      <c r="D249" s="4"/>
      <c r="E249" s="4" t="s">
        <v>355</v>
      </c>
      <c r="F249" s="5" t="s">
        <v>358</v>
      </c>
      <c r="G249" s="5">
        <v>25</v>
      </c>
      <c r="H249" s="5">
        <v>25.48</v>
      </c>
      <c r="I249" s="51" t="s">
        <v>427</v>
      </c>
      <c r="J249" s="39"/>
      <c r="K249" s="39"/>
    </row>
    <row r="250" spans="1:11" x14ac:dyDescent="0.35">
      <c r="A250" s="4">
        <v>211</v>
      </c>
      <c r="B250" s="111"/>
      <c r="C250" s="119"/>
      <c r="D250" s="4" t="s">
        <v>360</v>
      </c>
      <c r="E250" s="4" t="s">
        <v>361</v>
      </c>
      <c r="F250" s="5" t="s">
        <v>428</v>
      </c>
      <c r="G250" s="5">
        <v>30</v>
      </c>
      <c r="H250" s="5">
        <v>30.65</v>
      </c>
      <c r="I250" s="41" t="s">
        <v>429</v>
      </c>
      <c r="J250" s="39"/>
      <c r="K250" s="39"/>
    </row>
    <row r="251" spans="1:11" x14ac:dyDescent="0.35">
      <c r="A251" s="4">
        <v>212</v>
      </c>
      <c r="B251" s="111"/>
      <c r="C251" s="119"/>
      <c r="D251" s="4"/>
      <c r="E251" s="4" t="s">
        <v>361</v>
      </c>
      <c r="F251" s="5" t="s">
        <v>430</v>
      </c>
      <c r="G251" s="5">
        <v>30</v>
      </c>
      <c r="H251" s="5">
        <v>31.4</v>
      </c>
      <c r="I251" s="57" t="s">
        <v>431</v>
      </c>
      <c r="J251" s="39"/>
      <c r="K251" s="39"/>
    </row>
    <row r="252" spans="1:11" x14ac:dyDescent="0.35">
      <c r="A252" s="4">
        <v>213</v>
      </c>
      <c r="B252" s="111"/>
      <c r="C252" s="119"/>
      <c r="D252" s="4"/>
      <c r="E252" s="4" t="s">
        <v>362</v>
      </c>
      <c r="F252" s="5" t="s">
        <v>363</v>
      </c>
      <c r="G252" s="5">
        <v>30</v>
      </c>
      <c r="H252" s="5">
        <v>30.13</v>
      </c>
      <c r="I252" s="51" t="s">
        <v>432</v>
      </c>
      <c r="J252" s="39"/>
      <c r="K252" s="39"/>
    </row>
    <row r="253" spans="1:11" x14ac:dyDescent="0.35">
      <c r="A253" s="4">
        <v>214</v>
      </c>
      <c r="B253" s="111"/>
      <c r="C253" s="119"/>
      <c r="D253" s="4"/>
      <c r="E253" s="4" t="s">
        <v>362</v>
      </c>
      <c r="F253" s="5" t="s">
        <v>366</v>
      </c>
      <c r="G253" s="5">
        <v>30</v>
      </c>
      <c r="H253" s="5">
        <v>30.53</v>
      </c>
      <c r="I253" s="51" t="s">
        <v>433</v>
      </c>
      <c r="J253" s="39"/>
      <c r="K253" s="39"/>
    </row>
    <row r="254" spans="1:11" x14ac:dyDescent="0.35">
      <c r="B254" s="111"/>
      <c r="C254" s="120"/>
      <c r="D254" s="4"/>
      <c r="E254" s="4"/>
      <c r="F254" s="9"/>
      <c r="G254" s="4"/>
      <c r="H254" s="4"/>
      <c r="I254" s="39"/>
      <c r="J254" s="39"/>
      <c r="K254" s="39"/>
    </row>
    <row r="255" spans="1:11" ht="30" customHeight="1" x14ac:dyDescent="0.35">
      <c r="A255" s="1">
        <v>215</v>
      </c>
      <c r="B255" s="111"/>
      <c r="C255" s="80" t="s">
        <v>372</v>
      </c>
      <c r="D255" s="78" t="s">
        <v>380</v>
      </c>
      <c r="E255" s="3" t="s">
        <v>434</v>
      </c>
      <c r="F255" s="45" t="s">
        <v>435</v>
      </c>
      <c r="G255" s="45">
        <v>10</v>
      </c>
      <c r="H255" s="45">
        <v>10.25</v>
      </c>
      <c r="I255" s="41" t="s">
        <v>436</v>
      </c>
      <c r="J255" s="39"/>
      <c r="K255" s="39"/>
    </row>
    <row r="256" spans="1:11" x14ac:dyDescent="0.35">
      <c r="A256" s="1">
        <v>216</v>
      </c>
      <c r="B256" s="111"/>
      <c r="C256" s="111"/>
      <c r="D256" s="78"/>
      <c r="E256" s="4" t="s">
        <v>381</v>
      </c>
      <c r="F256" s="5" t="s">
        <v>437</v>
      </c>
      <c r="G256" s="5">
        <v>5</v>
      </c>
      <c r="H256" s="5">
        <v>5.6</v>
      </c>
      <c r="I256" s="51" t="s">
        <v>438</v>
      </c>
      <c r="J256" s="39"/>
      <c r="K256" s="39"/>
    </row>
    <row r="257" spans="1:11" x14ac:dyDescent="0.35">
      <c r="A257" s="1">
        <v>217</v>
      </c>
      <c r="B257" s="111"/>
      <c r="C257" s="111"/>
      <c r="D257" s="78"/>
      <c r="E257" s="4" t="s">
        <v>382</v>
      </c>
      <c r="F257" s="5" t="s">
        <v>383</v>
      </c>
      <c r="G257" s="5">
        <v>5</v>
      </c>
      <c r="H257" s="5">
        <v>5.08</v>
      </c>
      <c r="I257" s="41" t="s">
        <v>439</v>
      </c>
      <c r="J257" s="39"/>
      <c r="K257" s="39"/>
    </row>
    <row r="258" spans="1:11" x14ac:dyDescent="0.35">
      <c r="A258" s="1">
        <v>218</v>
      </c>
      <c r="B258" s="111"/>
      <c r="C258" s="111"/>
      <c r="D258" s="78"/>
      <c r="E258" s="4" t="s">
        <v>387</v>
      </c>
      <c r="F258" s="5" t="s">
        <v>388</v>
      </c>
      <c r="G258" s="5">
        <v>3</v>
      </c>
      <c r="H258" s="5">
        <v>3.11</v>
      </c>
      <c r="I258" s="41" t="s">
        <v>440</v>
      </c>
      <c r="J258" s="39"/>
      <c r="K258" s="39"/>
    </row>
    <row r="259" spans="1:11" x14ac:dyDescent="0.35">
      <c r="A259" s="1">
        <v>219</v>
      </c>
      <c r="B259" s="111"/>
      <c r="C259" s="111"/>
      <c r="D259" s="78"/>
      <c r="E259" s="4" t="s">
        <v>387</v>
      </c>
      <c r="F259" s="68"/>
      <c r="G259" s="43"/>
      <c r="H259" s="43"/>
      <c r="I259" s="39"/>
      <c r="J259" s="39"/>
      <c r="K259" s="39"/>
    </row>
    <row r="260" spans="1:11" x14ac:dyDescent="0.35">
      <c r="A260" s="1">
        <v>220</v>
      </c>
      <c r="B260" s="111"/>
      <c r="C260" s="111"/>
      <c r="D260" s="78"/>
      <c r="E260" s="4" t="s">
        <v>387</v>
      </c>
      <c r="F260" s="5" t="s">
        <v>441</v>
      </c>
      <c r="G260" s="5">
        <v>5</v>
      </c>
      <c r="H260" s="5">
        <v>5.13</v>
      </c>
      <c r="I260" s="41" t="s">
        <v>442</v>
      </c>
      <c r="J260" s="39"/>
      <c r="K260" s="39"/>
    </row>
    <row r="261" spans="1:11" x14ac:dyDescent="0.35">
      <c r="A261" s="1">
        <v>221</v>
      </c>
      <c r="B261" s="111"/>
      <c r="C261" s="111"/>
      <c r="D261" s="80" t="s">
        <v>392</v>
      </c>
      <c r="E261" s="4" t="s">
        <v>392</v>
      </c>
      <c r="F261" s="5" t="s">
        <v>443</v>
      </c>
      <c r="G261" s="5">
        <v>5</v>
      </c>
      <c r="H261" s="5">
        <v>5.09</v>
      </c>
      <c r="I261" s="41" t="s">
        <v>444</v>
      </c>
      <c r="J261" s="39"/>
      <c r="K261" s="39"/>
    </row>
    <row r="262" spans="1:11" x14ac:dyDescent="0.35">
      <c r="A262" s="1">
        <v>222</v>
      </c>
      <c r="B262" s="111"/>
      <c r="C262" s="111"/>
      <c r="D262" s="111"/>
      <c r="E262" s="4" t="s">
        <v>392</v>
      </c>
      <c r="F262" s="27" t="s">
        <v>393</v>
      </c>
      <c r="G262" s="27">
        <v>5</v>
      </c>
      <c r="H262" s="27">
        <v>5.33</v>
      </c>
      <c r="I262" s="41" t="s">
        <v>445</v>
      </c>
      <c r="J262" s="39"/>
      <c r="K262" s="39"/>
    </row>
    <row r="263" spans="1:11" x14ac:dyDescent="0.35">
      <c r="A263" s="1">
        <v>223</v>
      </c>
      <c r="B263" s="111"/>
      <c r="C263" s="111"/>
      <c r="D263" s="111"/>
      <c r="E263" s="4" t="s">
        <v>392</v>
      </c>
      <c r="F263" s="27" t="s">
        <v>395</v>
      </c>
      <c r="G263" s="27">
        <v>5</v>
      </c>
      <c r="H263" s="27">
        <v>5.0999999999999996</v>
      </c>
      <c r="I263" s="41" t="s">
        <v>446</v>
      </c>
      <c r="J263" s="39"/>
      <c r="K263" s="39"/>
    </row>
    <row r="264" spans="1:11" x14ac:dyDescent="0.35">
      <c r="A264" s="1">
        <v>224</v>
      </c>
      <c r="B264" s="111"/>
      <c r="C264" s="111"/>
      <c r="D264" s="111"/>
      <c r="E264" s="4" t="s">
        <v>392</v>
      </c>
      <c r="F264" s="27" t="s">
        <v>447</v>
      </c>
      <c r="G264" s="27">
        <v>5</v>
      </c>
      <c r="H264" s="27">
        <v>5.68</v>
      </c>
      <c r="I264" s="41" t="s">
        <v>448</v>
      </c>
      <c r="J264" s="39"/>
      <c r="K264" s="39"/>
    </row>
    <row r="265" spans="1:11" x14ac:dyDescent="0.35">
      <c r="A265" s="1">
        <v>225</v>
      </c>
      <c r="B265" s="111"/>
      <c r="C265" s="111"/>
      <c r="D265" s="111"/>
      <c r="E265" s="4" t="s">
        <v>392</v>
      </c>
      <c r="F265" s="27" t="s">
        <v>397</v>
      </c>
      <c r="G265" s="27">
        <v>5</v>
      </c>
      <c r="H265" s="27">
        <v>5.84</v>
      </c>
      <c r="I265" s="51" t="s">
        <v>449</v>
      </c>
      <c r="J265" s="39"/>
      <c r="K265" s="39"/>
    </row>
    <row r="266" spans="1:11" x14ac:dyDescent="0.35">
      <c r="A266" s="1">
        <v>226</v>
      </c>
      <c r="B266" s="111"/>
      <c r="C266" s="81"/>
      <c r="D266" s="81"/>
      <c r="E266" s="4" t="s">
        <v>392</v>
      </c>
      <c r="F266" s="27" t="s">
        <v>399</v>
      </c>
      <c r="G266" s="27">
        <v>5</v>
      </c>
      <c r="H266" s="27">
        <v>5.03</v>
      </c>
      <c r="I266" s="41" t="s">
        <v>450</v>
      </c>
      <c r="J266" s="39"/>
      <c r="K266" s="39"/>
    </row>
    <row r="267" spans="1:11" x14ac:dyDescent="0.35">
      <c r="B267" s="111"/>
      <c r="D267" s="4"/>
      <c r="E267" s="4"/>
      <c r="F267" s="28"/>
      <c r="G267" s="1"/>
      <c r="H267" s="1"/>
      <c r="I267" s="39"/>
      <c r="J267" s="39"/>
      <c r="K267" s="39"/>
    </row>
    <row r="268" spans="1:11" ht="31.5" customHeight="1" x14ac:dyDescent="0.35">
      <c r="A268" s="1">
        <v>227</v>
      </c>
      <c r="B268" s="111"/>
      <c r="C268" s="3" t="s">
        <v>401</v>
      </c>
      <c r="D268" s="3" t="s">
        <v>451</v>
      </c>
      <c r="E268" s="3" t="s">
        <v>403</v>
      </c>
      <c r="F268" s="45" t="s">
        <v>404</v>
      </c>
      <c r="G268" s="45">
        <v>1</v>
      </c>
      <c r="H268" s="45">
        <v>1.06</v>
      </c>
      <c r="I268" s="54" t="s">
        <v>452</v>
      </c>
      <c r="J268" s="39"/>
      <c r="K268" s="39"/>
    </row>
    <row r="269" spans="1:11" ht="43.5" x14ac:dyDescent="0.35">
      <c r="A269" s="1">
        <v>228</v>
      </c>
      <c r="B269" s="111"/>
      <c r="C269" s="4"/>
      <c r="D269" s="4"/>
      <c r="E269" s="4" t="s">
        <v>453</v>
      </c>
      <c r="F269" s="5" t="s">
        <v>454</v>
      </c>
      <c r="G269" s="5">
        <v>1</v>
      </c>
      <c r="H269" s="5">
        <v>1.03</v>
      </c>
      <c r="I269" s="55" t="s">
        <v>455</v>
      </c>
      <c r="J269" s="39"/>
      <c r="K269" s="39"/>
    </row>
    <row r="270" spans="1:11" ht="43.5" x14ac:dyDescent="0.35">
      <c r="A270" s="1">
        <v>229</v>
      </c>
      <c r="B270" s="111"/>
      <c r="C270" s="4"/>
      <c r="D270" s="4" t="s">
        <v>406</v>
      </c>
      <c r="E270" s="4" t="s">
        <v>407</v>
      </c>
      <c r="F270" s="5" t="s">
        <v>456</v>
      </c>
      <c r="G270" s="5">
        <v>10</v>
      </c>
      <c r="H270" s="5">
        <v>10.38</v>
      </c>
      <c r="I270" s="55" t="s">
        <v>457</v>
      </c>
      <c r="J270" s="39"/>
      <c r="K270" s="39"/>
    </row>
    <row r="271" spans="1:11" x14ac:dyDescent="0.35">
      <c r="A271" s="1">
        <v>230</v>
      </c>
      <c r="B271" s="111"/>
      <c r="C271" s="4"/>
      <c r="D271" s="5"/>
      <c r="E271" s="4" t="s">
        <v>407</v>
      </c>
      <c r="F271" s="26"/>
      <c r="G271" s="5"/>
      <c r="H271" s="5"/>
      <c r="I271" s="39"/>
      <c r="J271" s="39"/>
      <c r="K271" s="39"/>
    </row>
    <row r="272" spans="1:11" ht="43.5" x14ac:dyDescent="0.35">
      <c r="A272" s="1">
        <v>231</v>
      </c>
      <c r="B272" s="111"/>
      <c r="C272" s="4"/>
      <c r="D272" s="5" t="s">
        <v>406</v>
      </c>
      <c r="E272" s="5" t="s">
        <v>407</v>
      </c>
      <c r="F272" s="5" t="s">
        <v>458</v>
      </c>
      <c r="G272" s="5">
        <v>10</v>
      </c>
      <c r="H272" s="5">
        <v>10.029999999999999</v>
      </c>
      <c r="I272" s="55" t="s">
        <v>459</v>
      </c>
      <c r="J272" s="39"/>
      <c r="K272" s="39"/>
    </row>
    <row r="273" spans="1:11" s="128" customFormat="1" ht="58" customHeight="1" x14ac:dyDescent="0.35">
      <c r="A273" s="121">
        <v>232</v>
      </c>
      <c r="B273" s="111"/>
      <c r="C273" s="122"/>
      <c r="D273" s="123" t="s">
        <v>416</v>
      </c>
      <c r="E273" s="124" t="s">
        <v>416</v>
      </c>
      <c r="F273" s="125" t="s">
        <v>460</v>
      </c>
      <c r="G273" s="125">
        <v>10</v>
      </c>
      <c r="H273" s="126">
        <v>5.13</v>
      </c>
      <c r="I273" s="127" t="s">
        <v>461</v>
      </c>
      <c r="J273" s="74"/>
      <c r="K273" s="74"/>
    </row>
    <row r="274" spans="1:11" ht="12" customHeight="1" x14ac:dyDescent="0.35">
      <c r="A274" s="1">
        <v>233</v>
      </c>
      <c r="B274" s="111"/>
      <c r="D274" s="58"/>
      <c r="E274" s="58" t="s">
        <v>462</v>
      </c>
      <c r="F274" s="60" t="s">
        <v>463</v>
      </c>
      <c r="G274" s="59" t="s">
        <v>463</v>
      </c>
      <c r="H274" s="11" t="s">
        <v>463</v>
      </c>
      <c r="I274" s="39"/>
      <c r="J274" s="39"/>
      <c r="K274" s="39"/>
    </row>
    <row r="275" spans="1:11" ht="43.5" x14ac:dyDescent="0.35">
      <c r="A275" s="1">
        <v>234</v>
      </c>
      <c r="B275" s="111"/>
      <c r="D275" s="59" t="s">
        <v>416</v>
      </c>
      <c r="E275" s="58" t="s">
        <v>462</v>
      </c>
      <c r="F275" s="59" t="s">
        <v>464</v>
      </c>
      <c r="G275" s="59">
        <v>5</v>
      </c>
      <c r="H275" s="56">
        <v>15.11</v>
      </c>
      <c r="I275" s="55" t="s">
        <v>465</v>
      </c>
      <c r="J275" s="39"/>
      <c r="K275" s="39"/>
    </row>
    <row r="276" spans="1:11" x14ac:dyDescent="0.35">
      <c r="B276" s="111"/>
      <c r="C276" s="12"/>
      <c r="D276" s="116" t="s">
        <v>311</v>
      </c>
      <c r="E276" s="117"/>
      <c r="F276" s="30"/>
      <c r="G276" s="48">
        <f>SUM(G242:G275)</f>
        <v>300</v>
      </c>
      <c r="H276" s="48"/>
      <c r="I276" s="39"/>
      <c r="J276" s="39"/>
      <c r="K276" s="39"/>
    </row>
    <row r="277" spans="1:11" x14ac:dyDescent="0.35">
      <c r="B277" s="81"/>
      <c r="C277" s="12"/>
      <c r="D277" s="116" t="s">
        <v>466</v>
      </c>
      <c r="E277" s="117"/>
      <c r="F277" s="30"/>
      <c r="G277" s="48">
        <f>G276+G241</f>
        <v>473</v>
      </c>
      <c r="H277" s="48"/>
      <c r="I277" s="39"/>
      <c r="J277" s="39"/>
      <c r="K277" s="39"/>
    </row>
    <row r="278" spans="1:11" x14ac:dyDescent="0.35">
      <c r="A278" s="4">
        <v>235</v>
      </c>
      <c r="B278" s="80" t="s">
        <v>467</v>
      </c>
      <c r="C278" s="82" t="s">
        <v>468</v>
      </c>
      <c r="D278" s="4" t="s">
        <v>468</v>
      </c>
      <c r="E278" s="4" t="s">
        <v>469</v>
      </c>
      <c r="F278" s="5" t="s">
        <v>470</v>
      </c>
      <c r="G278" s="5">
        <v>3</v>
      </c>
      <c r="H278" s="5">
        <v>3.13</v>
      </c>
      <c r="I278" s="38" t="s">
        <v>471</v>
      </c>
      <c r="J278" s="39"/>
      <c r="K278" s="39"/>
    </row>
    <row r="279" spans="1:11" x14ac:dyDescent="0.35">
      <c r="A279" s="4">
        <v>236</v>
      </c>
      <c r="B279" s="111"/>
      <c r="C279" s="83"/>
      <c r="D279" s="4" t="s">
        <v>472</v>
      </c>
      <c r="E279" s="4" t="s">
        <v>473</v>
      </c>
      <c r="F279" s="5" t="s">
        <v>474</v>
      </c>
      <c r="G279" s="5">
        <v>5</v>
      </c>
      <c r="H279" s="5">
        <v>5.41</v>
      </c>
      <c r="I279" s="38" t="s">
        <v>475</v>
      </c>
      <c r="J279" s="39"/>
      <c r="K279" s="39"/>
    </row>
    <row r="280" spans="1:11" x14ac:dyDescent="0.35">
      <c r="A280" s="4">
        <v>237</v>
      </c>
      <c r="B280" s="111"/>
      <c r="C280" s="82" t="s">
        <v>467</v>
      </c>
      <c r="D280" s="4" t="s">
        <v>476</v>
      </c>
      <c r="E280" s="4" t="s">
        <v>477</v>
      </c>
      <c r="F280" s="5" t="s">
        <v>478</v>
      </c>
      <c r="G280" s="5">
        <v>25</v>
      </c>
      <c r="H280" s="5">
        <v>25.25</v>
      </c>
      <c r="I280" s="41" t="s">
        <v>479</v>
      </c>
      <c r="J280" s="39"/>
      <c r="K280" s="39"/>
    </row>
    <row r="281" spans="1:11" x14ac:dyDescent="0.35">
      <c r="A281" s="4">
        <v>238</v>
      </c>
      <c r="B281" s="111"/>
      <c r="C281" s="83"/>
      <c r="D281" s="4" t="s">
        <v>480</v>
      </c>
      <c r="E281" s="4" t="s">
        <v>481</v>
      </c>
      <c r="F281" s="5" t="s">
        <v>482</v>
      </c>
      <c r="G281" s="5">
        <v>3</v>
      </c>
      <c r="H281" s="5">
        <v>3</v>
      </c>
      <c r="I281" s="41" t="s">
        <v>483</v>
      </c>
      <c r="J281" s="39"/>
      <c r="K281" s="39"/>
    </row>
    <row r="282" spans="1:11" x14ac:dyDescent="0.35">
      <c r="A282" s="4"/>
      <c r="B282" s="111"/>
      <c r="C282" s="104" t="s">
        <v>266</v>
      </c>
      <c r="D282" s="105"/>
      <c r="E282" s="105"/>
      <c r="F282" s="31"/>
      <c r="G282" s="49">
        <f>SUM(G278:G281)</f>
        <v>36</v>
      </c>
      <c r="H282" s="49"/>
      <c r="I282" s="39"/>
      <c r="J282" s="39"/>
      <c r="K282" s="39"/>
    </row>
    <row r="283" spans="1:11" x14ac:dyDescent="0.35">
      <c r="A283" s="4">
        <v>239</v>
      </c>
      <c r="B283" s="111"/>
      <c r="C283" s="80" t="s">
        <v>468</v>
      </c>
      <c r="D283" s="80" t="s">
        <v>468</v>
      </c>
      <c r="E283" s="3" t="s">
        <v>469</v>
      </c>
      <c r="F283" s="45" t="s">
        <v>484</v>
      </c>
      <c r="G283" s="45">
        <v>3</v>
      </c>
      <c r="H283" s="45">
        <v>3</v>
      </c>
      <c r="I283" s="129"/>
      <c r="J283" s="39"/>
      <c r="K283" s="39"/>
    </row>
    <row r="284" spans="1:11" x14ac:dyDescent="0.35">
      <c r="A284" s="4">
        <v>240</v>
      </c>
      <c r="B284" s="111"/>
      <c r="C284" s="111"/>
      <c r="D284" s="111"/>
      <c r="E284" s="45" t="s">
        <v>469</v>
      </c>
      <c r="F284" s="45" t="s">
        <v>484</v>
      </c>
      <c r="G284" s="45">
        <v>12</v>
      </c>
      <c r="H284" s="45">
        <v>12</v>
      </c>
      <c r="I284" s="129"/>
      <c r="J284" s="39"/>
      <c r="K284" s="39"/>
    </row>
    <row r="285" spans="1:11" x14ac:dyDescent="0.35">
      <c r="A285" s="4">
        <v>241</v>
      </c>
      <c r="B285" s="111"/>
      <c r="C285" s="111"/>
      <c r="D285" s="81"/>
      <c r="E285" s="3" t="s">
        <v>469</v>
      </c>
      <c r="F285" s="45" t="s">
        <v>470</v>
      </c>
      <c r="G285" s="45">
        <v>15</v>
      </c>
      <c r="H285" s="45">
        <v>15.33</v>
      </c>
      <c r="I285" s="38" t="s">
        <v>485</v>
      </c>
      <c r="J285" s="39"/>
      <c r="K285" s="39"/>
    </row>
    <row r="286" spans="1:11" x14ac:dyDescent="0.35">
      <c r="A286" s="4">
        <v>242</v>
      </c>
      <c r="B286" s="111"/>
      <c r="C286" s="81"/>
      <c r="D286" s="3" t="s">
        <v>486</v>
      </c>
      <c r="E286" s="3" t="s">
        <v>487</v>
      </c>
      <c r="F286" s="45" t="s">
        <v>488</v>
      </c>
      <c r="G286" s="45">
        <v>25</v>
      </c>
      <c r="H286" s="45">
        <v>25.3</v>
      </c>
      <c r="I286" s="130" t="s">
        <v>574</v>
      </c>
      <c r="J286" s="39"/>
      <c r="K286" s="39"/>
    </row>
    <row r="287" spans="1:11" x14ac:dyDescent="0.35">
      <c r="A287" s="4">
        <v>243</v>
      </c>
      <c r="B287" s="111"/>
      <c r="C287" s="82" t="s">
        <v>467</v>
      </c>
      <c r="D287" s="82" t="s">
        <v>480</v>
      </c>
      <c r="E287" s="82" t="s">
        <v>481</v>
      </c>
      <c r="F287" s="5" t="s">
        <v>489</v>
      </c>
      <c r="G287" s="5">
        <v>1</v>
      </c>
      <c r="H287" s="5">
        <v>1.01</v>
      </c>
      <c r="I287" s="38" t="s">
        <v>490</v>
      </c>
      <c r="J287" s="39"/>
      <c r="K287" s="39"/>
    </row>
    <row r="288" spans="1:11" x14ac:dyDescent="0.35">
      <c r="A288" s="4"/>
      <c r="B288" s="111"/>
      <c r="C288" s="91"/>
      <c r="D288" s="91"/>
      <c r="E288" s="91"/>
      <c r="F288" s="5" t="s">
        <v>489</v>
      </c>
      <c r="G288" s="5">
        <v>0.6</v>
      </c>
      <c r="H288" s="5">
        <v>0.59</v>
      </c>
      <c r="I288" s="38" t="s">
        <v>491</v>
      </c>
      <c r="J288" s="39"/>
      <c r="K288" s="39"/>
    </row>
    <row r="289" spans="1:11" x14ac:dyDescent="0.35">
      <c r="A289" s="4"/>
      <c r="B289" s="111"/>
      <c r="C289" s="91"/>
      <c r="D289" s="91"/>
      <c r="E289" s="91"/>
      <c r="F289" s="5" t="s">
        <v>489</v>
      </c>
      <c r="G289" s="5">
        <v>1</v>
      </c>
      <c r="H289" s="5">
        <v>1.03</v>
      </c>
      <c r="I289" s="38" t="s">
        <v>492</v>
      </c>
      <c r="J289" s="39"/>
      <c r="K289" s="39"/>
    </row>
    <row r="290" spans="1:11" x14ac:dyDescent="0.35">
      <c r="A290" s="4"/>
      <c r="B290" s="111"/>
      <c r="C290" s="91"/>
      <c r="D290" s="91"/>
      <c r="E290" s="91"/>
      <c r="F290" s="5" t="s">
        <v>489</v>
      </c>
      <c r="G290" s="5">
        <v>0.7</v>
      </c>
      <c r="H290" s="5">
        <v>0.72</v>
      </c>
      <c r="I290" s="38" t="s">
        <v>493</v>
      </c>
      <c r="J290" s="39"/>
      <c r="K290" s="39"/>
    </row>
    <row r="291" spans="1:11" x14ac:dyDescent="0.35">
      <c r="A291" s="4"/>
      <c r="B291" s="111"/>
      <c r="C291" s="91"/>
      <c r="D291" s="91"/>
      <c r="E291" s="91"/>
      <c r="F291" s="5" t="s">
        <v>489</v>
      </c>
      <c r="G291" s="5">
        <v>0.7</v>
      </c>
      <c r="H291" s="5">
        <v>0.76</v>
      </c>
      <c r="I291" s="38" t="s">
        <v>494</v>
      </c>
      <c r="J291" s="39"/>
      <c r="K291" s="39"/>
    </row>
    <row r="292" spans="1:11" x14ac:dyDescent="0.35">
      <c r="A292" s="4"/>
      <c r="B292" s="111"/>
      <c r="C292" s="91"/>
      <c r="D292" s="91"/>
      <c r="E292" s="91"/>
      <c r="F292" s="5" t="s">
        <v>495</v>
      </c>
      <c r="G292" s="5">
        <v>0.5</v>
      </c>
      <c r="H292" s="5">
        <v>0.5</v>
      </c>
      <c r="I292" s="38" t="s">
        <v>496</v>
      </c>
      <c r="J292" s="39"/>
      <c r="K292" s="39"/>
    </row>
    <row r="293" spans="1:11" x14ac:dyDescent="0.35">
      <c r="A293" s="4"/>
      <c r="B293" s="111"/>
      <c r="C293" s="91"/>
      <c r="D293" s="91"/>
      <c r="E293" s="91"/>
      <c r="F293" s="5" t="s">
        <v>495</v>
      </c>
      <c r="G293" s="5">
        <v>0.3</v>
      </c>
      <c r="H293" s="5">
        <v>0.32</v>
      </c>
      <c r="I293" s="38" t="s">
        <v>497</v>
      </c>
      <c r="J293" s="39"/>
      <c r="K293" s="39"/>
    </row>
    <row r="294" spans="1:11" x14ac:dyDescent="0.35">
      <c r="A294" s="4"/>
      <c r="B294" s="111"/>
      <c r="C294" s="91"/>
      <c r="D294" s="91"/>
      <c r="E294" s="91"/>
      <c r="F294" s="5" t="s">
        <v>495</v>
      </c>
      <c r="G294" s="5">
        <v>0.9</v>
      </c>
      <c r="H294" s="5">
        <v>1</v>
      </c>
      <c r="I294" s="38" t="s">
        <v>498</v>
      </c>
      <c r="J294" s="39"/>
      <c r="K294" s="39"/>
    </row>
    <row r="295" spans="1:11" x14ac:dyDescent="0.35">
      <c r="A295" s="4"/>
      <c r="B295" s="111"/>
      <c r="C295" s="91"/>
      <c r="D295" s="91"/>
      <c r="E295" s="91"/>
      <c r="F295" s="5" t="s">
        <v>495</v>
      </c>
      <c r="G295" s="5">
        <v>0.8</v>
      </c>
      <c r="H295" s="5">
        <v>0.86</v>
      </c>
      <c r="I295" s="38" t="s">
        <v>499</v>
      </c>
      <c r="J295" s="39"/>
      <c r="K295" s="39"/>
    </row>
    <row r="296" spans="1:11" x14ac:dyDescent="0.35">
      <c r="A296" s="4">
        <v>244</v>
      </c>
      <c r="B296" s="111"/>
      <c r="C296" s="91"/>
      <c r="D296" s="91"/>
      <c r="E296" s="83"/>
      <c r="F296" s="5" t="s">
        <v>495</v>
      </c>
      <c r="G296" s="5">
        <v>0.6</v>
      </c>
      <c r="H296" s="5">
        <v>0.69</v>
      </c>
      <c r="I296" s="38" t="s">
        <v>500</v>
      </c>
      <c r="J296" s="39"/>
      <c r="K296" s="39"/>
    </row>
    <row r="297" spans="1:11" x14ac:dyDescent="0.35">
      <c r="A297" s="4">
        <v>245</v>
      </c>
      <c r="B297" s="111"/>
      <c r="C297" s="91"/>
      <c r="D297" s="91"/>
      <c r="E297" s="82" t="s">
        <v>501</v>
      </c>
      <c r="F297" s="5" t="s">
        <v>502</v>
      </c>
      <c r="G297" s="5">
        <v>0.9</v>
      </c>
      <c r="H297" s="5">
        <v>0.91</v>
      </c>
      <c r="I297" s="41" t="s">
        <v>503</v>
      </c>
      <c r="J297" s="39"/>
      <c r="K297" s="39"/>
    </row>
    <row r="298" spans="1:11" x14ac:dyDescent="0.35">
      <c r="A298" s="4">
        <v>246</v>
      </c>
      <c r="B298" s="111"/>
      <c r="C298" s="91"/>
      <c r="D298" s="91"/>
      <c r="E298" s="91"/>
      <c r="F298" s="5" t="s">
        <v>502</v>
      </c>
      <c r="G298" s="5">
        <v>1</v>
      </c>
      <c r="H298" s="5">
        <v>1.3</v>
      </c>
      <c r="I298" s="38" t="s">
        <v>504</v>
      </c>
      <c r="J298" s="39"/>
      <c r="K298" s="39"/>
    </row>
    <row r="299" spans="1:11" x14ac:dyDescent="0.35">
      <c r="A299" s="4">
        <v>247</v>
      </c>
      <c r="B299" s="111"/>
      <c r="C299" s="91"/>
      <c r="D299" s="91"/>
      <c r="E299" s="91"/>
      <c r="F299" s="5" t="s">
        <v>505</v>
      </c>
      <c r="G299" s="5">
        <v>0.5</v>
      </c>
      <c r="H299" s="5">
        <v>0.53</v>
      </c>
      <c r="I299" s="38" t="s">
        <v>506</v>
      </c>
      <c r="J299" s="39"/>
      <c r="K299" s="39"/>
    </row>
    <row r="300" spans="1:11" x14ac:dyDescent="0.35">
      <c r="A300" s="4"/>
      <c r="B300" s="111"/>
      <c r="C300" s="91"/>
      <c r="D300" s="91"/>
      <c r="E300" s="91"/>
      <c r="F300" s="5" t="s">
        <v>507</v>
      </c>
      <c r="G300" s="5">
        <v>1</v>
      </c>
      <c r="H300" s="5">
        <v>1.23</v>
      </c>
      <c r="I300" s="38" t="s">
        <v>508</v>
      </c>
      <c r="J300" s="39"/>
      <c r="K300" s="39"/>
    </row>
    <row r="301" spans="1:11" x14ac:dyDescent="0.35">
      <c r="A301" s="4"/>
      <c r="B301" s="111"/>
      <c r="C301" s="91"/>
      <c r="D301" s="91"/>
      <c r="E301" s="91"/>
      <c r="F301" s="5" t="s">
        <v>507</v>
      </c>
      <c r="G301" s="5">
        <v>9</v>
      </c>
      <c r="H301" s="5">
        <v>9.16</v>
      </c>
      <c r="I301" s="41" t="s">
        <v>509</v>
      </c>
      <c r="J301" s="39"/>
      <c r="K301" s="39"/>
    </row>
    <row r="302" spans="1:11" x14ac:dyDescent="0.35">
      <c r="A302" s="4"/>
      <c r="B302" s="111"/>
      <c r="C302" s="91"/>
      <c r="D302" s="91"/>
      <c r="E302" s="91"/>
      <c r="F302" s="5" t="s">
        <v>510</v>
      </c>
      <c r="G302" s="5">
        <v>1</v>
      </c>
      <c r="H302" s="5">
        <v>1.05</v>
      </c>
      <c r="I302" s="38" t="s">
        <v>511</v>
      </c>
      <c r="J302" s="39"/>
      <c r="K302" s="39"/>
    </row>
    <row r="303" spans="1:11" x14ac:dyDescent="0.35">
      <c r="A303" s="4">
        <v>248</v>
      </c>
      <c r="B303" s="111"/>
      <c r="C303" s="91"/>
      <c r="D303" s="91"/>
      <c r="E303" s="83"/>
      <c r="F303" s="5" t="s">
        <v>510</v>
      </c>
      <c r="G303" s="5">
        <v>0.5</v>
      </c>
      <c r="H303" s="5">
        <v>0.52</v>
      </c>
      <c r="I303" s="38" t="s">
        <v>512</v>
      </c>
      <c r="J303" s="39"/>
      <c r="K303" s="39"/>
    </row>
    <row r="304" spans="1:11" x14ac:dyDescent="0.35">
      <c r="A304" s="4">
        <v>249</v>
      </c>
      <c r="B304" s="111"/>
      <c r="C304" s="91"/>
      <c r="D304" s="91"/>
      <c r="E304" s="4" t="s">
        <v>513</v>
      </c>
      <c r="F304" s="5" t="s">
        <v>514</v>
      </c>
      <c r="G304" s="5">
        <v>2.5</v>
      </c>
      <c r="H304" s="5">
        <v>1.88</v>
      </c>
      <c r="I304" s="41" t="s">
        <v>515</v>
      </c>
      <c r="J304" s="39"/>
      <c r="K304" s="39"/>
    </row>
    <row r="305" spans="1:11" x14ac:dyDescent="0.35">
      <c r="A305" s="4">
        <v>250</v>
      </c>
      <c r="B305" s="111"/>
      <c r="C305" s="83"/>
      <c r="D305" s="83"/>
      <c r="E305" s="4"/>
      <c r="F305" s="5" t="s">
        <v>516</v>
      </c>
      <c r="G305" s="5">
        <v>2.5</v>
      </c>
      <c r="H305" s="5">
        <v>2.54</v>
      </c>
      <c r="I305" s="38" t="s">
        <v>517</v>
      </c>
      <c r="J305" s="39"/>
      <c r="K305" s="39"/>
    </row>
    <row r="306" spans="1:11" x14ac:dyDescent="0.35">
      <c r="A306" s="4"/>
      <c r="B306" s="111"/>
      <c r="C306" s="104" t="s">
        <v>311</v>
      </c>
      <c r="D306" s="105"/>
      <c r="E306" s="105"/>
      <c r="F306" s="31"/>
      <c r="G306" s="49">
        <f>SUM(G283:G305)</f>
        <v>81</v>
      </c>
      <c r="H306" s="49"/>
      <c r="I306" s="39"/>
      <c r="J306" s="39"/>
      <c r="K306" s="39"/>
    </row>
    <row r="307" spans="1:11" x14ac:dyDescent="0.35">
      <c r="A307" s="4"/>
      <c r="B307" s="81"/>
      <c r="C307" s="104" t="s">
        <v>238</v>
      </c>
      <c r="D307" s="105"/>
      <c r="E307" s="105"/>
      <c r="F307" s="31"/>
      <c r="G307" s="49">
        <f>G306+G282</f>
        <v>117</v>
      </c>
      <c r="H307" s="49"/>
      <c r="I307" s="39"/>
      <c r="J307" s="39"/>
      <c r="K307" s="39"/>
    </row>
    <row r="308" spans="1:11" x14ac:dyDescent="0.35">
      <c r="A308" s="4">
        <v>241</v>
      </c>
      <c r="B308" s="80" t="s">
        <v>518</v>
      </c>
      <c r="C308" s="82" t="s">
        <v>519</v>
      </c>
      <c r="D308" s="4" t="s">
        <v>520</v>
      </c>
      <c r="E308" s="4" t="s">
        <v>521</v>
      </c>
      <c r="F308" s="5" t="s">
        <v>522</v>
      </c>
      <c r="G308" s="5">
        <v>5</v>
      </c>
      <c r="H308" s="5">
        <v>5.59</v>
      </c>
      <c r="I308" s="38" t="s">
        <v>523</v>
      </c>
      <c r="J308" s="39"/>
      <c r="K308" s="39"/>
    </row>
    <row r="309" spans="1:11" x14ac:dyDescent="0.35">
      <c r="A309" s="4">
        <v>242</v>
      </c>
      <c r="B309" s="111"/>
      <c r="C309" s="83"/>
      <c r="D309" s="4" t="s">
        <v>524</v>
      </c>
      <c r="E309" s="4" t="s">
        <v>518</v>
      </c>
      <c r="F309" s="26" t="s">
        <v>525</v>
      </c>
      <c r="G309" s="5">
        <v>2</v>
      </c>
      <c r="H309" s="5">
        <v>2</v>
      </c>
      <c r="I309" s="38" t="s">
        <v>526</v>
      </c>
      <c r="J309" s="39"/>
      <c r="K309" s="39"/>
    </row>
    <row r="310" spans="1:11" x14ac:dyDescent="0.35">
      <c r="A310" s="4">
        <v>243</v>
      </c>
      <c r="B310" s="111"/>
      <c r="C310" s="82" t="s">
        <v>527</v>
      </c>
      <c r="D310" s="82" t="s">
        <v>528</v>
      </c>
      <c r="E310" s="4" t="s">
        <v>529</v>
      </c>
      <c r="F310" s="5" t="s">
        <v>530</v>
      </c>
      <c r="G310" s="5">
        <v>1</v>
      </c>
      <c r="H310" s="5">
        <v>1.0900000000000001</v>
      </c>
      <c r="I310" s="38" t="s">
        <v>531</v>
      </c>
      <c r="J310" s="39"/>
      <c r="K310" s="39"/>
    </row>
    <row r="311" spans="1:11" x14ac:dyDescent="0.35">
      <c r="A311" s="4">
        <v>244</v>
      </c>
      <c r="B311" s="111"/>
      <c r="C311" s="91"/>
      <c r="D311" s="83"/>
      <c r="E311" s="4" t="s">
        <v>532</v>
      </c>
      <c r="F311" s="5" t="s">
        <v>533</v>
      </c>
      <c r="G311" s="5">
        <v>4</v>
      </c>
      <c r="H311" s="5">
        <v>3.69</v>
      </c>
      <c r="I311" s="38" t="s">
        <v>534</v>
      </c>
      <c r="J311" s="39"/>
      <c r="K311" s="39"/>
    </row>
    <row r="312" spans="1:11" x14ac:dyDescent="0.35">
      <c r="A312" s="4">
        <v>245</v>
      </c>
      <c r="B312" s="111"/>
      <c r="C312" s="91"/>
      <c r="D312" s="82" t="s">
        <v>535</v>
      </c>
      <c r="E312" s="4" t="s">
        <v>536</v>
      </c>
      <c r="F312" s="5" t="s">
        <v>537</v>
      </c>
      <c r="G312" s="5">
        <v>5</v>
      </c>
      <c r="H312" s="5">
        <v>4.9800000000000004</v>
      </c>
      <c r="I312" s="38" t="s">
        <v>538</v>
      </c>
      <c r="J312" s="39"/>
      <c r="K312" s="39"/>
    </row>
    <row r="313" spans="1:11" x14ac:dyDescent="0.35">
      <c r="A313" s="4">
        <v>246</v>
      </c>
      <c r="B313" s="111"/>
      <c r="C313" s="83"/>
      <c r="D313" s="83"/>
      <c r="E313" s="4" t="s">
        <v>539</v>
      </c>
      <c r="F313" s="5" t="s">
        <v>540</v>
      </c>
      <c r="G313" s="5">
        <v>5</v>
      </c>
      <c r="H313" s="5">
        <v>5.86</v>
      </c>
      <c r="I313" s="38" t="s">
        <v>541</v>
      </c>
      <c r="J313" s="39"/>
      <c r="K313" s="39"/>
    </row>
    <row r="314" spans="1:11" x14ac:dyDescent="0.35">
      <c r="A314" s="4"/>
      <c r="B314" s="111"/>
      <c r="C314" s="106" t="s">
        <v>266</v>
      </c>
      <c r="D314" s="107"/>
      <c r="E314" s="107"/>
      <c r="F314" s="32"/>
      <c r="G314" s="50">
        <f>SUM(G308:G313)</f>
        <v>22</v>
      </c>
      <c r="H314" s="69"/>
      <c r="I314" s="39"/>
      <c r="J314" s="39"/>
      <c r="K314" s="39"/>
    </row>
    <row r="315" spans="1:11" x14ac:dyDescent="0.35">
      <c r="A315" s="4">
        <v>247</v>
      </c>
      <c r="B315" s="111"/>
      <c r="C315" s="80" t="s">
        <v>519</v>
      </c>
      <c r="D315" s="4" t="s">
        <v>524</v>
      </c>
      <c r="E315" s="4" t="s">
        <v>518</v>
      </c>
      <c r="F315" s="5" t="s">
        <v>525</v>
      </c>
      <c r="G315" s="5">
        <v>3</v>
      </c>
      <c r="H315" s="5">
        <v>2.97</v>
      </c>
      <c r="I315" s="38" t="s">
        <v>542</v>
      </c>
      <c r="J315" s="39"/>
      <c r="K315" s="39"/>
    </row>
    <row r="316" spans="1:11" x14ac:dyDescent="0.35">
      <c r="A316" s="4">
        <v>248</v>
      </c>
      <c r="B316" s="111"/>
      <c r="C316" s="111"/>
      <c r="D316" s="82" t="s">
        <v>527</v>
      </c>
      <c r="E316" s="82" t="s">
        <v>543</v>
      </c>
      <c r="F316" s="5" t="s">
        <v>544</v>
      </c>
      <c r="G316" s="5">
        <v>10</v>
      </c>
      <c r="H316" s="5">
        <v>10.34</v>
      </c>
      <c r="I316" s="38" t="s">
        <v>545</v>
      </c>
      <c r="J316" s="39"/>
      <c r="K316" s="39"/>
    </row>
    <row r="317" spans="1:11" x14ac:dyDescent="0.35">
      <c r="A317" s="4">
        <v>249</v>
      </c>
      <c r="B317" s="111"/>
      <c r="C317" s="111"/>
      <c r="D317" s="91"/>
      <c r="E317" s="83"/>
      <c r="F317" s="5" t="s">
        <v>546</v>
      </c>
      <c r="G317" s="5">
        <v>10</v>
      </c>
      <c r="H317" s="22">
        <v>161.62739999999999</v>
      </c>
      <c r="I317" s="38" t="s">
        <v>547</v>
      </c>
      <c r="J317" s="39"/>
      <c r="K317" s="39"/>
    </row>
    <row r="318" spans="1:11" x14ac:dyDescent="0.35">
      <c r="A318" s="4"/>
      <c r="B318" s="111"/>
      <c r="C318" s="111"/>
      <c r="D318" s="91"/>
      <c r="E318" s="4" t="s">
        <v>548</v>
      </c>
      <c r="F318" s="5" t="s">
        <v>549</v>
      </c>
      <c r="G318" s="5">
        <v>4.4000000000000004</v>
      </c>
      <c r="H318" s="5">
        <v>4.3</v>
      </c>
      <c r="I318" s="38" t="s">
        <v>550</v>
      </c>
      <c r="J318" s="39"/>
      <c r="K318" s="39"/>
    </row>
    <row r="319" spans="1:11" x14ac:dyDescent="0.35">
      <c r="A319" s="4">
        <v>250</v>
      </c>
      <c r="B319" s="111"/>
      <c r="C319" s="111"/>
      <c r="D319" s="91"/>
      <c r="E319" s="4" t="s">
        <v>548</v>
      </c>
      <c r="F319" s="5" t="s">
        <v>549</v>
      </c>
      <c r="G319" s="5">
        <v>2.8</v>
      </c>
      <c r="H319" s="5">
        <v>2.78</v>
      </c>
      <c r="I319" s="38" t="s">
        <v>551</v>
      </c>
      <c r="J319" s="39"/>
      <c r="K319" s="39"/>
    </row>
    <row r="320" spans="1:11" x14ac:dyDescent="0.35">
      <c r="A320" s="4">
        <v>251</v>
      </c>
      <c r="B320" s="111"/>
      <c r="C320" s="111"/>
      <c r="D320" s="83"/>
      <c r="E320" s="4" t="s">
        <v>552</v>
      </c>
      <c r="F320" s="5" t="s">
        <v>553</v>
      </c>
      <c r="G320" s="5">
        <v>2</v>
      </c>
      <c r="H320" s="5">
        <v>2.0699999999999998</v>
      </c>
      <c r="I320" s="38" t="s">
        <v>554</v>
      </c>
      <c r="J320" s="39"/>
      <c r="K320" s="39"/>
    </row>
    <row r="321" spans="1:11" x14ac:dyDescent="0.35">
      <c r="A321" s="4">
        <v>252</v>
      </c>
      <c r="B321" s="111"/>
      <c r="C321" s="111"/>
      <c r="D321" s="82" t="s">
        <v>528</v>
      </c>
      <c r="E321" s="4" t="s">
        <v>529</v>
      </c>
      <c r="F321" s="5" t="s">
        <v>555</v>
      </c>
      <c r="G321" s="5">
        <v>4</v>
      </c>
      <c r="H321" s="5">
        <v>4.25</v>
      </c>
      <c r="I321" s="38" t="s">
        <v>556</v>
      </c>
      <c r="J321" s="39"/>
      <c r="K321" s="39"/>
    </row>
    <row r="322" spans="1:11" x14ac:dyDescent="0.35">
      <c r="A322" s="4">
        <v>253</v>
      </c>
      <c r="B322" s="111"/>
      <c r="C322" s="111"/>
      <c r="D322" s="91"/>
      <c r="E322" s="82" t="s">
        <v>532</v>
      </c>
      <c r="F322" s="5" t="s">
        <v>557</v>
      </c>
      <c r="G322" s="5">
        <v>5</v>
      </c>
      <c r="H322" s="5">
        <v>5.6</v>
      </c>
      <c r="I322" s="38" t="s">
        <v>558</v>
      </c>
      <c r="J322" s="39"/>
      <c r="K322" s="39"/>
    </row>
    <row r="323" spans="1:11" x14ac:dyDescent="0.35">
      <c r="A323" s="4">
        <v>254</v>
      </c>
      <c r="B323" s="111"/>
      <c r="C323" s="111"/>
      <c r="D323" s="83"/>
      <c r="E323" s="83"/>
      <c r="F323" s="5" t="s">
        <v>559</v>
      </c>
      <c r="G323" s="5">
        <v>3</v>
      </c>
      <c r="H323" s="5">
        <v>3.6</v>
      </c>
      <c r="I323" s="38" t="s">
        <v>560</v>
      </c>
      <c r="J323" s="39"/>
      <c r="K323" s="39"/>
    </row>
    <row r="324" spans="1:11" x14ac:dyDescent="0.35">
      <c r="A324" s="4">
        <v>255</v>
      </c>
      <c r="B324" s="111"/>
      <c r="C324" s="111"/>
      <c r="D324" s="82" t="s">
        <v>535</v>
      </c>
      <c r="E324" s="3" t="s">
        <v>536</v>
      </c>
      <c r="F324" s="5" t="s">
        <v>537</v>
      </c>
      <c r="G324" s="5">
        <v>13</v>
      </c>
      <c r="H324" s="5">
        <v>13.55</v>
      </c>
      <c r="I324" s="38" t="s">
        <v>561</v>
      </c>
      <c r="J324" s="39"/>
      <c r="K324" s="39"/>
    </row>
    <row r="325" spans="1:11" x14ac:dyDescent="0.35">
      <c r="A325" s="4">
        <v>256</v>
      </c>
      <c r="B325" s="111"/>
      <c r="C325" s="111"/>
      <c r="D325" s="83"/>
      <c r="E325" s="80" t="s">
        <v>539</v>
      </c>
      <c r="F325" s="5" t="s">
        <v>540</v>
      </c>
      <c r="G325" s="5">
        <v>10</v>
      </c>
      <c r="H325" s="5">
        <v>9.9600000000000009</v>
      </c>
      <c r="I325" s="38" t="s">
        <v>562</v>
      </c>
      <c r="J325" s="39"/>
      <c r="K325" s="39"/>
    </row>
    <row r="326" spans="1:11" x14ac:dyDescent="0.35">
      <c r="A326" s="4">
        <v>257</v>
      </c>
      <c r="B326" s="111"/>
      <c r="C326" s="81"/>
      <c r="D326" s="4"/>
      <c r="E326" s="81"/>
      <c r="F326" s="5" t="s">
        <v>563</v>
      </c>
      <c r="G326" s="5">
        <v>10</v>
      </c>
      <c r="H326" s="5">
        <v>10.7</v>
      </c>
      <c r="I326" s="38" t="s">
        <v>564</v>
      </c>
      <c r="J326" s="39"/>
      <c r="K326" s="39"/>
    </row>
    <row r="327" spans="1:11" ht="34.5" customHeight="1" x14ac:dyDescent="0.35">
      <c r="A327" s="4"/>
      <c r="B327" s="111"/>
      <c r="C327" s="13" t="s">
        <v>311</v>
      </c>
      <c r="D327" s="14"/>
      <c r="E327" s="14"/>
      <c r="F327" s="33"/>
      <c r="G327" s="34">
        <f>SUM(G315:G326)</f>
        <v>77.2</v>
      </c>
      <c r="H327" s="70"/>
      <c r="I327" s="39"/>
      <c r="J327" s="39"/>
      <c r="K327" s="39"/>
    </row>
    <row r="328" spans="1:11" x14ac:dyDescent="0.35">
      <c r="A328" s="4"/>
      <c r="B328" s="81"/>
      <c r="C328" s="106" t="s">
        <v>466</v>
      </c>
      <c r="D328" s="108"/>
      <c r="E328" s="108"/>
      <c r="F328" s="35"/>
      <c r="G328" s="34">
        <f>G327+G314</f>
        <v>99.2</v>
      </c>
      <c r="H328" s="71"/>
      <c r="I328" s="39"/>
      <c r="J328" s="39"/>
      <c r="K328" s="39"/>
    </row>
    <row r="329" spans="1:11" x14ac:dyDescent="0.35">
      <c r="A329" s="4">
        <v>258</v>
      </c>
      <c r="B329" s="4" t="s">
        <v>565</v>
      </c>
      <c r="C329" s="4" t="s">
        <v>566</v>
      </c>
      <c r="D329" s="4" t="s">
        <v>567</v>
      </c>
      <c r="E329" s="4" t="s">
        <v>568</v>
      </c>
      <c r="F329" s="4"/>
      <c r="G329" s="4"/>
      <c r="H329" s="4"/>
      <c r="I329" s="39"/>
      <c r="J329" s="39"/>
      <c r="K329" s="39"/>
    </row>
    <row r="330" spans="1:11" x14ac:dyDescent="0.35">
      <c r="A330" s="4"/>
      <c r="B330" s="4"/>
      <c r="C330" s="4"/>
      <c r="D330" s="4"/>
      <c r="E330" s="4"/>
      <c r="F330" s="4"/>
      <c r="G330" s="4"/>
      <c r="H330" s="4"/>
      <c r="I330" s="39"/>
      <c r="J330" s="39"/>
      <c r="K330" s="39"/>
    </row>
    <row r="331" spans="1:11" x14ac:dyDescent="0.35">
      <c r="A331" s="4"/>
      <c r="B331" s="4"/>
      <c r="C331" s="86" t="s">
        <v>569</v>
      </c>
      <c r="D331" s="87"/>
      <c r="E331" s="4"/>
      <c r="F331" s="4"/>
      <c r="G331" s="4"/>
      <c r="H331" s="4"/>
      <c r="I331" s="39"/>
      <c r="J331" s="39"/>
      <c r="K331" s="39"/>
    </row>
    <row r="332" spans="1:11" x14ac:dyDescent="0.35">
      <c r="A332" s="4"/>
      <c r="B332" s="4"/>
      <c r="C332" s="86" t="s">
        <v>570</v>
      </c>
      <c r="D332" s="87"/>
      <c r="E332" s="4"/>
      <c r="F332" s="4"/>
      <c r="G332" s="4"/>
      <c r="H332" s="4"/>
      <c r="I332" s="39"/>
      <c r="J332" s="39"/>
      <c r="K332" s="39"/>
    </row>
    <row r="333" spans="1:11" x14ac:dyDescent="0.35">
      <c r="A333" s="4"/>
      <c r="B333" s="4"/>
      <c r="C333" s="86" t="s">
        <v>571</v>
      </c>
      <c r="D333" s="87"/>
      <c r="E333" s="4"/>
      <c r="F333" s="4"/>
      <c r="G333" s="4"/>
      <c r="H333" s="4"/>
      <c r="I333" s="39"/>
      <c r="J333" s="39"/>
      <c r="K333" s="39"/>
    </row>
    <row r="334" spans="1:11" x14ac:dyDescent="0.35">
      <c r="A334" s="4"/>
      <c r="B334" s="4"/>
      <c r="C334" s="86" t="s">
        <v>572</v>
      </c>
      <c r="D334" s="87"/>
      <c r="E334" s="4"/>
      <c r="F334" s="4"/>
      <c r="G334" s="4"/>
      <c r="H334" s="4"/>
      <c r="I334" s="39"/>
      <c r="J334" s="39"/>
      <c r="K334" s="39"/>
    </row>
    <row r="335" spans="1:11" x14ac:dyDescent="0.35">
      <c r="C335" s="88" t="s">
        <v>573</v>
      </c>
      <c r="D335" s="88"/>
      <c r="I335" s="39"/>
      <c r="J335" s="39"/>
      <c r="K335" s="39"/>
    </row>
    <row r="336" spans="1:11" x14ac:dyDescent="0.35">
      <c r="A336" s="61"/>
      <c r="B336" s="62"/>
      <c r="C336" s="62"/>
      <c r="D336" s="62"/>
      <c r="E336" s="62"/>
      <c r="F336" s="62"/>
      <c r="G336" s="62"/>
      <c r="H336" s="62"/>
    </row>
    <row r="337" spans="1:8" x14ac:dyDescent="0.35">
      <c r="A337" s="61"/>
      <c r="B337" s="62"/>
      <c r="C337" s="62"/>
      <c r="D337" s="62"/>
      <c r="E337" s="62"/>
      <c r="F337" s="62"/>
      <c r="G337" s="62"/>
      <c r="H337" s="62"/>
    </row>
    <row r="338" spans="1:8" x14ac:dyDescent="0.35">
      <c r="A338" s="61"/>
      <c r="B338" s="62"/>
      <c r="C338" s="62"/>
      <c r="D338" s="62"/>
      <c r="E338" s="62"/>
      <c r="F338" s="62"/>
      <c r="G338" s="62"/>
      <c r="H338" s="62"/>
    </row>
    <row r="339" spans="1:8" x14ac:dyDescent="0.35">
      <c r="A339" s="61"/>
      <c r="B339" s="62"/>
      <c r="C339" s="62"/>
      <c r="D339" s="62"/>
      <c r="E339" s="62"/>
      <c r="F339" s="62"/>
      <c r="G339" s="62"/>
      <c r="H339" s="62"/>
    </row>
    <row r="340" spans="1:8" x14ac:dyDescent="0.35">
      <c r="A340" s="61"/>
      <c r="B340" s="62"/>
      <c r="C340" s="62"/>
      <c r="D340" s="62"/>
      <c r="E340" s="62"/>
      <c r="F340" s="62"/>
      <c r="G340" s="62"/>
      <c r="H340" s="62"/>
    </row>
    <row r="341" spans="1:8" x14ac:dyDescent="0.35">
      <c r="A341" s="61"/>
      <c r="B341" s="62"/>
      <c r="C341" s="62"/>
      <c r="D341" s="62"/>
      <c r="E341" s="62"/>
      <c r="F341" s="62"/>
      <c r="G341" s="62"/>
      <c r="H341" s="62"/>
    </row>
    <row r="342" spans="1:8" x14ac:dyDescent="0.35">
      <c r="A342" s="61"/>
      <c r="B342" s="62"/>
      <c r="C342" s="62"/>
      <c r="D342" s="62"/>
      <c r="E342" s="62"/>
      <c r="F342" s="62"/>
      <c r="G342" s="62"/>
      <c r="H342" s="62"/>
    </row>
    <row r="343" spans="1:8" x14ac:dyDescent="0.35">
      <c r="A343" s="61"/>
      <c r="B343" s="62"/>
      <c r="C343" s="62"/>
      <c r="D343" s="62"/>
      <c r="E343" s="62"/>
      <c r="F343" s="62"/>
      <c r="G343" s="62"/>
      <c r="H343" s="62"/>
    </row>
    <row r="344" spans="1:8" x14ac:dyDescent="0.35">
      <c r="A344" s="61"/>
      <c r="B344" s="62"/>
      <c r="C344" s="62"/>
      <c r="D344" s="62"/>
      <c r="E344" s="62"/>
      <c r="F344" s="62"/>
      <c r="G344" s="62"/>
      <c r="H344" s="62"/>
    </row>
    <row r="345" spans="1:8" x14ac:dyDescent="0.35">
      <c r="A345" s="61"/>
      <c r="B345" s="62"/>
      <c r="C345" s="62"/>
      <c r="D345" s="62"/>
      <c r="E345" s="62"/>
      <c r="F345" s="62"/>
      <c r="G345" s="62"/>
      <c r="H345" s="62"/>
    </row>
    <row r="346" spans="1:8" x14ac:dyDescent="0.35">
      <c r="A346" s="61"/>
      <c r="B346" s="62"/>
      <c r="C346" s="62"/>
      <c r="D346" s="62"/>
      <c r="E346" s="62"/>
      <c r="F346" s="62"/>
      <c r="G346" s="62"/>
      <c r="H346" s="62"/>
    </row>
    <row r="347" spans="1:8" x14ac:dyDescent="0.35">
      <c r="A347" s="61"/>
      <c r="B347" s="62"/>
      <c r="C347" s="62"/>
      <c r="D347" s="62"/>
      <c r="E347" s="62"/>
      <c r="F347" s="62"/>
      <c r="G347" s="62"/>
      <c r="H347" s="62"/>
    </row>
    <row r="348" spans="1:8" x14ac:dyDescent="0.35">
      <c r="A348" s="61"/>
      <c r="B348" s="62"/>
      <c r="C348" s="62"/>
      <c r="D348" s="62"/>
      <c r="E348" s="62"/>
      <c r="F348" s="62"/>
      <c r="G348" s="62"/>
      <c r="H348" s="62"/>
    </row>
    <row r="349" spans="1:8" x14ac:dyDescent="0.35">
      <c r="A349" s="61"/>
      <c r="B349" s="62"/>
      <c r="C349" s="62"/>
      <c r="D349" s="62"/>
      <c r="E349" s="62"/>
      <c r="F349" s="62"/>
      <c r="G349" s="62"/>
      <c r="H349" s="62"/>
    </row>
    <row r="350" spans="1:8" x14ac:dyDescent="0.35">
      <c r="A350" s="61"/>
      <c r="B350" s="62"/>
      <c r="C350" s="62"/>
      <c r="D350" s="62"/>
      <c r="E350" s="62"/>
      <c r="F350" s="62"/>
      <c r="G350" s="62"/>
      <c r="H350" s="62"/>
    </row>
    <row r="351" spans="1:8" x14ac:dyDescent="0.35">
      <c r="A351" s="61"/>
      <c r="B351" s="62"/>
      <c r="C351" s="62"/>
      <c r="D351" s="62"/>
      <c r="E351" s="62"/>
      <c r="F351" s="62"/>
      <c r="G351" s="62"/>
      <c r="H351" s="62"/>
    </row>
    <row r="352" spans="1:8" x14ac:dyDescent="0.35">
      <c r="A352" s="61"/>
      <c r="B352" s="62"/>
      <c r="C352" s="62"/>
      <c r="D352" s="62"/>
      <c r="E352" s="62"/>
      <c r="F352" s="62"/>
      <c r="G352" s="62"/>
      <c r="H352" s="62"/>
    </row>
    <row r="353" spans="1:8" x14ac:dyDescent="0.35">
      <c r="A353" s="61"/>
      <c r="B353" s="62"/>
      <c r="C353" s="62"/>
      <c r="D353" s="62"/>
      <c r="E353" s="62"/>
      <c r="F353" s="62"/>
      <c r="G353" s="62"/>
      <c r="H353" s="62"/>
    </row>
    <row r="354" spans="1:8" x14ac:dyDescent="0.35">
      <c r="A354" s="61"/>
      <c r="B354" s="62"/>
      <c r="C354" s="62"/>
      <c r="D354" s="62"/>
      <c r="E354" s="62"/>
      <c r="F354" s="62"/>
      <c r="G354" s="62"/>
      <c r="H354" s="62"/>
    </row>
    <row r="355" spans="1:8" x14ac:dyDescent="0.35">
      <c r="A355" s="61"/>
      <c r="B355" s="62"/>
      <c r="C355" s="62"/>
      <c r="D355" s="62"/>
      <c r="E355" s="62"/>
      <c r="F355" s="62"/>
      <c r="G355" s="62"/>
      <c r="H355" s="62"/>
    </row>
    <row r="356" spans="1:8" x14ac:dyDescent="0.35">
      <c r="A356" s="61"/>
      <c r="B356" s="62"/>
      <c r="C356" s="62"/>
      <c r="D356" s="62"/>
      <c r="E356" s="62"/>
      <c r="F356" s="62"/>
      <c r="G356" s="62"/>
      <c r="H356" s="62"/>
    </row>
    <row r="357" spans="1:8" x14ac:dyDescent="0.35">
      <c r="A357" s="61"/>
      <c r="B357" s="62"/>
      <c r="C357" s="62"/>
      <c r="D357" s="62"/>
      <c r="E357" s="62"/>
      <c r="F357" s="62"/>
      <c r="G357" s="62"/>
      <c r="H357" s="62"/>
    </row>
    <row r="358" spans="1:8" x14ac:dyDescent="0.35">
      <c r="A358" s="61"/>
      <c r="B358" s="62"/>
      <c r="C358" s="62"/>
      <c r="D358" s="62"/>
      <c r="E358" s="62"/>
      <c r="F358" s="62"/>
      <c r="G358" s="62"/>
      <c r="H358" s="62"/>
    </row>
    <row r="359" spans="1:8" x14ac:dyDescent="0.35">
      <c r="A359" s="61"/>
      <c r="B359" s="62"/>
      <c r="C359" s="62"/>
      <c r="D359" s="62"/>
      <c r="E359" s="62"/>
      <c r="F359" s="62"/>
      <c r="G359" s="62"/>
      <c r="H359" s="62"/>
    </row>
    <row r="360" spans="1:8" x14ac:dyDescent="0.35">
      <c r="A360" s="61"/>
      <c r="B360" s="62"/>
      <c r="C360" s="62"/>
      <c r="D360" s="62"/>
      <c r="E360" s="62"/>
      <c r="F360" s="62"/>
      <c r="G360" s="62"/>
      <c r="H360" s="62"/>
    </row>
    <row r="361" spans="1:8" x14ac:dyDescent="0.35">
      <c r="A361" s="61"/>
      <c r="B361" s="62"/>
      <c r="C361" s="62"/>
      <c r="D361" s="62"/>
      <c r="E361" s="62"/>
      <c r="F361" s="62"/>
      <c r="G361" s="62"/>
      <c r="H361" s="62"/>
    </row>
    <row r="362" spans="1:8" x14ac:dyDescent="0.35">
      <c r="A362" s="61"/>
      <c r="B362" s="62"/>
      <c r="C362" s="62"/>
      <c r="D362" s="62"/>
      <c r="E362" s="62"/>
      <c r="F362" s="62"/>
      <c r="G362" s="62"/>
      <c r="H362" s="62"/>
    </row>
    <row r="363" spans="1:8" x14ac:dyDescent="0.35">
      <c r="A363" s="61"/>
      <c r="B363" s="62"/>
      <c r="C363" s="62"/>
      <c r="D363" s="62"/>
      <c r="E363" s="62"/>
      <c r="F363" s="62"/>
      <c r="G363" s="62"/>
      <c r="H363" s="62"/>
    </row>
    <row r="364" spans="1:8" x14ac:dyDescent="0.35">
      <c r="A364" s="61"/>
      <c r="B364" s="62"/>
      <c r="C364" s="62"/>
      <c r="D364" s="62"/>
      <c r="E364" s="62"/>
      <c r="F364" s="62"/>
      <c r="G364" s="62"/>
      <c r="H364" s="62"/>
    </row>
    <row r="365" spans="1:8" x14ac:dyDescent="0.35">
      <c r="A365" s="61"/>
      <c r="B365" s="62"/>
      <c r="C365" s="62"/>
      <c r="D365" s="62"/>
      <c r="E365" s="62"/>
      <c r="F365" s="62"/>
      <c r="G365" s="62"/>
      <c r="H365" s="62"/>
    </row>
    <row r="366" spans="1:8" x14ac:dyDescent="0.35">
      <c r="A366" s="61"/>
      <c r="B366" s="62"/>
      <c r="C366" s="62"/>
      <c r="D366" s="62"/>
      <c r="E366" s="62"/>
      <c r="F366" s="62"/>
      <c r="G366" s="62"/>
      <c r="H366" s="62"/>
    </row>
    <row r="367" spans="1:8" x14ac:dyDescent="0.35">
      <c r="A367" s="61"/>
      <c r="B367" s="62"/>
      <c r="C367" s="62"/>
      <c r="D367" s="62"/>
      <c r="E367" s="62"/>
      <c r="F367" s="62"/>
      <c r="G367" s="62"/>
      <c r="H367" s="62"/>
    </row>
    <row r="368" spans="1:8" x14ac:dyDescent="0.35">
      <c r="A368" s="61"/>
      <c r="B368" s="62"/>
      <c r="C368" s="62"/>
      <c r="D368" s="62"/>
      <c r="E368" s="62"/>
      <c r="F368" s="62"/>
      <c r="G368" s="62"/>
      <c r="H368" s="62"/>
    </row>
    <row r="369" spans="1:8" x14ac:dyDescent="0.35">
      <c r="A369" s="61"/>
      <c r="B369" s="62"/>
      <c r="C369" s="62"/>
      <c r="D369" s="62"/>
      <c r="E369" s="62"/>
      <c r="F369" s="62"/>
      <c r="G369" s="62"/>
      <c r="H369" s="62"/>
    </row>
    <row r="370" spans="1:8" x14ac:dyDescent="0.35">
      <c r="A370" s="61"/>
      <c r="B370" s="62"/>
      <c r="C370" s="62"/>
      <c r="D370" s="62"/>
      <c r="E370" s="62"/>
      <c r="F370" s="62"/>
      <c r="G370" s="62"/>
      <c r="H370" s="62"/>
    </row>
    <row r="371" spans="1:8" x14ac:dyDescent="0.35">
      <c r="A371" s="61"/>
      <c r="B371" s="62"/>
      <c r="C371" s="62"/>
      <c r="D371" s="62"/>
      <c r="E371" s="62"/>
      <c r="F371" s="62"/>
      <c r="G371" s="62"/>
      <c r="H371" s="62"/>
    </row>
    <row r="372" spans="1:8" x14ac:dyDescent="0.35">
      <c r="A372" s="61"/>
      <c r="B372" s="62"/>
      <c r="C372" s="62"/>
      <c r="D372" s="62"/>
      <c r="E372" s="62"/>
      <c r="F372" s="62"/>
      <c r="G372" s="62"/>
      <c r="H372" s="62"/>
    </row>
    <row r="373" spans="1:8" x14ac:dyDescent="0.35">
      <c r="A373" s="61"/>
      <c r="B373" s="62"/>
      <c r="C373" s="62"/>
      <c r="D373" s="62"/>
      <c r="E373" s="62"/>
      <c r="F373" s="62"/>
      <c r="G373" s="62"/>
      <c r="H373" s="62"/>
    </row>
    <row r="374" spans="1:8" x14ac:dyDescent="0.35">
      <c r="A374" s="61"/>
      <c r="B374" s="62"/>
      <c r="C374" s="62"/>
      <c r="D374" s="62"/>
      <c r="E374" s="62"/>
      <c r="F374" s="62"/>
      <c r="G374" s="62"/>
      <c r="H374" s="62"/>
    </row>
    <row r="375" spans="1:8" x14ac:dyDescent="0.35">
      <c r="A375" s="61"/>
      <c r="B375" s="62"/>
      <c r="C375" s="62"/>
      <c r="D375" s="62"/>
      <c r="E375" s="62"/>
      <c r="F375" s="62"/>
      <c r="G375" s="62"/>
      <c r="H375" s="62"/>
    </row>
    <row r="376" spans="1:8" x14ac:dyDescent="0.35">
      <c r="A376" s="61"/>
      <c r="B376" s="62"/>
      <c r="C376" s="62"/>
      <c r="D376" s="62"/>
      <c r="E376" s="62"/>
      <c r="F376" s="62"/>
      <c r="G376" s="62"/>
      <c r="H376" s="62"/>
    </row>
    <row r="377" spans="1:8" x14ac:dyDescent="0.35">
      <c r="A377" s="61"/>
      <c r="B377" s="62"/>
      <c r="C377" s="62"/>
      <c r="D377" s="62"/>
      <c r="E377" s="62"/>
      <c r="F377" s="62"/>
      <c r="G377" s="62"/>
      <c r="H377" s="62"/>
    </row>
    <row r="378" spans="1:8" x14ac:dyDescent="0.35">
      <c r="A378" s="61"/>
      <c r="B378" s="62"/>
      <c r="C378" s="62"/>
      <c r="D378" s="62"/>
      <c r="E378" s="62"/>
      <c r="F378" s="62"/>
      <c r="G378" s="62"/>
      <c r="H378" s="62"/>
    </row>
    <row r="379" spans="1:8" x14ac:dyDescent="0.35">
      <c r="A379" s="61"/>
      <c r="B379" s="62"/>
      <c r="C379" s="62"/>
      <c r="D379" s="62"/>
      <c r="E379" s="62"/>
      <c r="F379" s="62"/>
      <c r="G379" s="62"/>
      <c r="H379" s="62"/>
    </row>
    <row r="380" spans="1:8" x14ac:dyDescent="0.35">
      <c r="A380" s="61"/>
      <c r="B380" s="62"/>
      <c r="C380" s="62"/>
      <c r="D380" s="62"/>
      <c r="E380" s="62"/>
      <c r="F380" s="62"/>
      <c r="G380" s="62"/>
      <c r="H380" s="62"/>
    </row>
    <row r="381" spans="1:8" x14ac:dyDescent="0.35">
      <c r="A381" s="61"/>
      <c r="B381" s="62"/>
      <c r="C381" s="62"/>
      <c r="D381" s="62"/>
      <c r="E381" s="62"/>
      <c r="F381" s="62"/>
      <c r="G381" s="62"/>
      <c r="H381" s="62"/>
    </row>
    <row r="382" spans="1:8" x14ac:dyDescent="0.35">
      <c r="A382" s="61"/>
      <c r="B382" s="62"/>
      <c r="C382" s="62"/>
      <c r="D382" s="62"/>
      <c r="E382" s="62"/>
      <c r="F382" s="62"/>
      <c r="G382" s="62"/>
      <c r="H382" s="62"/>
    </row>
    <row r="383" spans="1:8" x14ac:dyDescent="0.35">
      <c r="A383" s="61"/>
      <c r="B383" s="62"/>
      <c r="C383" s="62"/>
      <c r="D383" s="62"/>
      <c r="E383" s="62"/>
      <c r="F383" s="62"/>
      <c r="G383" s="62"/>
      <c r="H383" s="62"/>
    </row>
    <row r="384" spans="1:8" x14ac:dyDescent="0.35">
      <c r="A384" s="61"/>
      <c r="B384" s="62"/>
      <c r="C384" s="62"/>
      <c r="D384" s="62"/>
      <c r="E384" s="62"/>
      <c r="F384" s="62"/>
      <c r="G384" s="62"/>
      <c r="H384" s="62"/>
    </row>
    <row r="385" spans="1:8" x14ac:dyDescent="0.35">
      <c r="A385" s="61"/>
      <c r="B385" s="62"/>
      <c r="C385" s="62"/>
      <c r="D385" s="62"/>
      <c r="E385" s="62"/>
      <c r="F385" s="62"/>
      <c r="G385" s="62"/>
      <c r="H385" s="62"/>
    </row>
    <row r="386" spans="1:8" x14ac:dyDescent="0.35">
      <c r="A386" s="61"/>
      <c r="B386" s="62"/>
      <c r="C386" s="62"/>
      <c r="D386" s="62"/>
      <c r="E386" s="62"/>
      <c r="F386" s="62"/>
      <c r="G386" s="62"/>
      <c r="H386" s="62"/>
    </row>
    <row r="387" spans="1:8" x14ac:dyDescent="0.35">
      <c r="A387" s="61"/>
      <c r="B387" s="62"/>
      <c r="C387" s="62"/>
      <c r="D387" s="62"/>
      <c r="E387" s="62"/>
      <c r="F387" s="62"/>
      <c r="G387" s="62"/>
      <c r="H387" s="62"/>
    </row>
    <row r="388" spans="1:8" x14ac:dyDescent="0.35">
      <c r="A388" s="61"/>
      <c r="B388" s="62"/>
      <c r="C388" s="62"/>
      <c r="D388" s="62"/>
      <c r="E388" s="62"/>
      <c r="F388" s="62"/>
      <c r="G388" s="62"/>
      <c r="H388" s="62"/>
    </row>
    <row r="389" spans="1:8" x14ac:dyDescent="0.35">
      <c r="A389" s="61"/>
      <c r="B389" s="62"/>
      <c r="C389" s="62"/>
      <c r="D389" s="62"/>
      <c r="E389" s="62"/>
      <c r="F389" s="62"/>
      <c r="G389" s="62"/>
      <c r="H389" s="62"/>
    </row>
    <row r="390" spans="1:8" x14ac:dyDescent="0.35">
      <c r="A390" s="61"/>
      <c r="B390" s="62"/>
      <c r="C390" s="62"/>
      <c r="D390" s="62"/>
      <c r="E390" s="62"/>
      <c r="F390" s="62"/>
      <c r="G390" s="62"/>
      <c r="H390" s="62"/>
    </row>
    <row r="391" spans="1:8" x14ac:dyDescent="0.35">
      <c r="A391" s="61"/>
      <c r="B391" s="62"/>
      <c r="C391" s="62"/>
      <c r="D391" s="62"/>
      <c r="E391" s="62"/>
      <c r="F391" s="62"/>
      <c r="G391" s="62"/>
      <c r="H391" s="62"/>
    </row>
    <row r="392" spans="1:8" x14ac:dyDescent="0.35">
      <c r="A392" s="61"/>
      <c r="B392" s="62"/>
      <c r="C392" s="62"/>
      <c r="D392" s="62"/>
      <c r="E392" s="62"/>
      <c r="F392" s="62"/>
      <c r="G392" s="62"/>
      <c r="H392" s="62"/>
    </row>
    <row r="393" spans="1:8" x14ac:dyDescent="0.35">
      <c r="A393" s="61"/>
      <c r="B393" s="62"/>
      <c r="C393" s="62"/>
      <c r="D393" s="62"/>
      <c r="E393" s="62"/>
      <c r="F393" s="62"/>
      <c r="G393" s="62"/>
      <c r="H393" s="62"/>
    </row>
    <row r="394" spans="1:8" x14ac:dyDescent="0.35">
      <c r="A394" s="61"/>
      <c r="B394" s="62"/>
      <c r="C394" s="62"/>
      <c r="D394" s="62"/>
      <c r="E394" s="62"/>
      <c r="F394" s="62"/>
      <c r="G394" s="62"/>
      <c r="H394" s="62"/>
    </row>
    <row r="395" spans="1:8" x14ac:dyDescent="0.35">
      <c r="A395" s="61"/>
      <c r="B395" s="62"/>
      <c r="C395" s="62"/>
      <c r="D395" s="62"/>
      <c r="E395" s="62"/>
      <c r="F395" s="62"/>
      <c r="G395" s="62"/>
      <c r="H395" s="62"/>
    </row>
    <row r="396" spans="1:8" x14ac:dyDescent="0.35">
      <c r="A396" s="61"/>
      <c r="B396" s="62"/>
      <c r="C396" s="62"/>
      <c r="D396" s="62"/>
      <c r="E396" s="62"/>
      <c r="F396" s="62"/>
      <c r="G396" s="62"/>
      <c r="H396" s="62"/>
    </row>
    <row r="397" spans="1:8" x14ac:dyDescent="0.35">
      <c r="A397" s="61"/>
      <c r="B397" s="62"/>
      <c r="C397" s="62"/>
      <c r="D397" s="62"/>
      <c r="E397" s="62"/>
      <c r="F397" s="62"/>
      <c r="G397" s="62"/>
      <c r="H397" s="62"/>
    </row>
    <row r="398" spans="1:8" x14ac:dyDescent="0.35">
      <c r="A398" s="61"/>
      <c r="B398" s="62"/>
      <c r="C398" s="62"/>
      <c r="D398" s="62"/>
      <c r="E398" s="62"/>
      <c r="F398" s="62"/>
      <c r="G398" s="62"/>
      <c r="H398" s="62"/>
    </row>
    <row r="399" spans="1:8" x14ac:dyDescent="0.35">
      <c r="A399" s="61"/>
      <c r="B399" s="62"/>
      <c r="C399" s="62"/>
      <c r="D399" s="62"/>
      <c r="E399" s="62"/>
      <c r="F399" s="62"/>
      <c r="G399" s="62"/>
      <c r="H399" s="62"/>
    </row>
    <row r="400" spans="1:8" x14ac:dyDescent="0.35">
      <c r="A400" s="61"/>
      <c r="B400" s="62"/>
      <c r="C400" s="62"/>
      <c r="D400" s="62"/>
      <c r="E400" s="62"/>
      <c r="F400" s="62"/>
      <c r="G400" s="62"/>
      <c r="H400" s="62"/>
    </row>
    <row r="401" spans="1:8" x14ac:dyDescent="0.35">
      <c r="A401" s="61"/>
      <c r="B401" s="62"/>
      <c r="C401" s="62"/>
      <c r="D401" s="62"/>
      <c r="E401" s="62"/>
      <c r="F401" s="62"/>
      <c r="G401" s="62"/>
      <c r="H401" s="62"/>
    </row>
    <row r="402" spans="1:8" x14ac:dyDescent="0.35">
      <c r="A402" s="61"/>
      <c r="B402" s="62"/>
      <c r="C402" s="62"/>
      <c r="D402" s="62"/>
      <c r="E402" s="62"/>
      <c r="F402" s="62"/>
      <c r="G402" s="62"/>
      <c r="H402" s="62"/>
    </row>
    <row r="403" spans="1:8" x14ac:dyDescent="0.35">
      <c r="A403" s="61"/>
      <c r="B403" s="62"/>
      <c r="C403" s="62"/>
      <c r="D403" s="62"/>
      <c r="E403" s="62"/>
      <c r="F403" s="62"/>
      <c r="G403" s="62"/>
      <c r="H403" s="62"/>
    </row>
    <row r="404" spans="1:8" x14ac:dyDescent="0.35">
      <c r="A404" s="61"/>
      <c r="B404" s="62"/>
      <c r="C404" s="62"/>
      <c r="D404" s="62"/>
      <c r="E404" s="62"/>
      <c r="F404" s="62"/>
      <c r="G404" s="62"/>
      <c r="H404" s="62"/>
    </row>
    <row r="405" spans="1:8" x14ac:dyDescent="0.35">
      <c r="A405" s="61"/>
      <c r="B405" s="62"/>
      <c r="C405" s="62"/>
      <c r="D405" s="62"/>
      <c r="E405" s="62"/>
      <c r="F405" s="62"/>
      <c r="G405" s="62"/>
      <c r="H405" s="62"/>
    </row>
    <row r="406" spans="1:8" x14ac:dyDescent="0.35">
      <c r="A406" s="61"/>
      <c r="B406" s="62"/>
      <c r="C406" s="62"/>
      <c r="D406" s="62"/>
      <c r="E406" s="62"/>
      <c r="F406" s="62"/>
      <c r="G406" s="62"/>
      <c r="H406" s="62"/>
    </row>
    <row r="407" spans="1:8" x14ac:dyDescent="0.35">
      <c r="A407" s="61"/>
      <c r="B407" s="62"/>
      <c r="C407" s="62"/>
      <c r="D407" s="62"/>
      <c r="E407" s="62"/>
      <c r="F407" s="62"/>
      <c r="G407" s="62"/>
      <c r="H407" s="62"/>
    </row>
    <row r="408" spans="1:8" x14ac:dyDescent="0.35">
      <c r="A408" s="61"/>
      <c r="B408" s="62"/>
      <c r="C408" s="62"/>
      <c r="D408" s="62"/>
      <c r="E408" s="62"/>
      <c r="F408" s="62"/>
      <c r="G408" s="62"/>
      <c r="H408" s="62"/>
    </row>
    <row r="409" spans="1:8" x14ac:dyDescent="0.35">
      <c r="A409" s="61"/>
      <c r="B409" s="62"/>
      <c r="C409" s="62"/>
      <c r="D409" s="62"/>
      <c r="E409" s="62"/>
      <c r="F409" s="62"/>
      <c r="G409" s="62"/>
      <c r="H409" s="62"/>
    </row>
    <row r="410" spans="1:8" x14ac:dyDescent="0.35">
      <c r="A410" s="61"/>
      <c r="B410" s="62"/>
      <c r="C410" s="62"/>
      <c r="D410" s="62"/>
      <c r="E410" s="62"/>
      <c r="F410" s="62"/>
      <c r="G410" s="62"/>
      <c r="H410" s="62"/>
    </row>
    <row r="411" spans="1:8" x14ac:dyDescent="0.35">
      <c r="A411" s="61"/>
      <c r="B411" s="62"/>
      <c r="C411" s="62"/>
      <c r="D411" s="62"/>
      <c r="E411" s="62"/>
      <c r="F411" s="62"/>
      <c r="G411" s="62"/>
      <c r="H411" s="62"/>
    </row>
    <row r="412" spans="1:8" x14ac:dyDescent="0.35">
      <c r="A412" s="61"/>
      <c r="B412" s="62"/>
      <c r="C412" s="62"/>
      <c r="D412" s="62"/>
      <c r="E412" s="62"/>
      <c r="F412" s="62"/>
      <c r="G412" s="62"/>
      <c r="H412" s="62"/>
    </row>
    <row r="413" spans="1:8" x14ac:dyDescent="0.35">
      <c r="A413" s="61"/>
      <c r="B413" s="62"/>
      <c r="C413" s="62"/>
      <c r="D413" s="62"/>
      <c r="E413" s="62"/>
      <c r="F413" s="62"/>
      <c r="G413" s="62"/>
      <c r="H413" s="62"/>
    </row>
    <row r="414" spans="1:8" x14ac:dyDescent="0.35">
      <c r="A414" s="61"/>
      <c r="B414" s="62"/>
      <c r="C414" s="62"/>
      <c r="D414" s="62"/>
      <c r="E414" s="62"/>
      <c r="F414" s="62"/>
      <c r="G414" s="62"/>
      <c r="H414" s="62"/>
    </row>
    <row r="415" spans="1:8" x14ac:dyDescent="0.35">
      <c r="A415" s="61"/>
      <c r="B415" s="62"/>
      <c r="C415" s="62"/>
      <c r="D415" s="62"/>
      <c r="E415" s="62"/>
      <c r="F415" s="62"/>
      <c r="G415" s="62"/>
      <c r="H415" s="62"/>
    </row>
    <row r="416" spans="1:8" x14ac:dyDescent="0.35">
      <c r="A416" s="61"/>
      <c r="B416" s="62"/>
      <c r="C416" s="62"/>
      <c r="D416" s="62"/>
      <c r="E416" s="62"/>
      <c r="F416" s="62"/>
      <c r="G416" s="62"/>
      <c r="H416" s="62"/>
    </row>
    <row r="417" spans="1:8" x14ac:dyDescent="0.35">
      <c r="A417" s="61"/>
      <c r="B417" s="62"/>
      <c r="C417" s="62"/>
      <c r="D417" s="62"/>
      <c r="E417" s="62"/>
      <c r="F417" s="62"/>
      <c r="G417" s="62"/>
      <c r="H417" s="62"/>
    </row>
    <row r="418" spans="1:8" x14ac:dyDescent="0.35">
      <c r="A418" s="61"/>
      <c r="B418" s="62"/>
      <c r="C418" s="62"/>
      <c r="D418" s="62"/>
      <c r="E418" s="62"/>
      <c r="F418" s="62"/>
      <c r="G418" s="62"/>
      <c r="H418" s="62"/>
    </row>
    <row r="419" spans="1:8" x14ac:dyDescent="0.35">
      <c r="A419" s="61"/>
      <c r="B419" s="62"/>
      <c r="C419" s="62"/>
      <c r="D419" s="62"/>
      <c r="E419" s="62"/>
      <c r="F419" s="62"/>
      <c r="G419" s="62"/>
      <c r="H419" s="62"/>
    </row>
    <row r="420" spans="1:8" x14ac:dyDescent="0.35">
      <c r="A420" s="61"/>
      <c r="B420" s="62"/>
      <c r="C420" s="62"/>
      <c r="D420" s="62"/>
      <c r="E420" s="62"/>
      <c r="F420" s="62"/>
      <c r="G420" s="62"/>
      <c r="H420" s="62"/>
    </row>
    <row r="421" spans="1:8" x14ac:dyDescent="0.35">
      <c r="A421" s="61"/>
      <c r="B421" s="62"/>
      <c r="C421" s="62"/>
      <c r="D421" s="62"/>
      <c r="E421" s="62"/>
      <c r="F421" s="62"/>
      <c r="G421" s="62"/>
      <c r="H421" s="62"/>
    </row>
    <row r="422" spans="1:8" x14ac:dyDescent="0.35">
      <c r="A422" s="61"/>
      <c r="B422" s="62"/>
      <c r="C422" s="62"/>
      <c r="D422" s="62"/>
      <c r="E422" s="62"/>
      <c r="F422" s="62"/>
      <c r="G422" s="62"/>
      <c r="H422" s="62"/>
    </row>
    <row r="423" spans="1:8" x14ac:dyDescent="0.35">
      <c r="A423" s="61"/>
      <c r="B423" s="62"/>
      <c r="C423" s="62"/>
      <c r="D423" s="62"/>
      <c r="E423" s="62"/>
      <c r="F423" s="62"/>
      <c r="G423" s="62"/>
      <c r="H423" s="62"/>
    </row>
    <row r="424" spans="1:8" x14ac:dyDescent="0.35">
      <c r="A424" s="61"/>
      <c r="B424" s="62"/>
      <c r="C424" s="62"/>
      <c r="D424" s="62"/>
      <c r="E424" s="62"/>
      <c r="F424" s="62"/>
      <c r="G424" s="62"/>
      <c r="H424" s="62"/>
    </row>
    <row r="425" spans="1:8" x14ac:dyDescent="0.35">
      <c r="A425" s="61"/>
      <c r="B425" s="62"/>
      <c r="C425" s="62"/>
      <c r="D425" s="62"/>
      <c r="E425" s="62"/>
      <c r="F425" s="62"/>
      <c r="G425" s="62"/>
      <c r="H425" s="62"/>
    </row>
    <row r="426" spans="1:8" x14ac:dyDescent="0.35">
      <c r="A426" s="61"/>
      <c r="B426" s="62"/>
      <c r="C426" s="62"/>
      <c r="D426" s="62"/>
      <c r="E426" s="62"/>
      <c r="F426" s="62"/>
      <c r="G426" s="62"/>
      <c r="H426" s="62"/>
    </row>
    <row r="427" spans="1:8" x14ac:dyDescent="0.35">
      <c r="A427" s="61"/>
      <c r="B427" s="62"/>
      <c r="C427" s="62"/>
      <c r="D427" s="62"/>
      <c r="E427" s="62"/>
      <c r="F427" s="62"/>
      <c r="G427" s="62"/>
      <c r="H427" s="62"/>
    </row>
    <row r="428" spans="1:8" x14ac:dyDescent="0.35">
      <c r="A428" s="61"/>
      <c r="B428" s="62"/>
      <c r="C428" s="62"/>
      <c r="D428" s="62"/>
      <c r="E428" s="62"/>
      <c r="F428" s="62"/>
      <c r="G428" s="62"/>
      <c r="H428" s="62"/>
    </row>
    <row r="429" spans="1:8" x14ac:dyDescent="0.35">
      <c r="A429" s="61"/>
      <c r="B429" s="62"/>
      <c r="C429" s="62"/>
      <c r="D429" s="62"/>
      <c r="E429" s="62"/>
      <c r="F429" s="62"/>
      <c r="G429" s="62"/>
      <c r="H429" s="62"/>
    </row>
    <row r="430" spans="1:8" x14ac:dyDescent="0.35">
      <c r="A430" s="61"/>
      <c r="B430" s="62"/>
      <c r="C430" s="62"/>
      <c r="D430" s="62"/>
      <c r="E430" s="62"/>
      <c r="F430" s="62"/>
      <c r="G430" s="62"/>
      <c r="H430" s="62"/>
    </row>
    <row r="431" spans="1:8" x14ac:dyDescent="0.35">
      <c r="A431" s="61"/>
      <c r="B431" s="62"/>
      <c r="C431" s="62"/>
      <c r="D431" s="62"/>
      <c r="E431" s="62"/>
      <c r="F431" s="62"/>
      <c r="G431" s="62"/>
      <c r="H431" s="62"/>
    </row>
    <row r="432" spans="1:8" x14ac:dyDescent="0.35">
      <c r="A432" s="61"/>
      <c r="B432" s="62"/>
      <c r="C432" s="62"/>
      <c r="D432" s="62"/>
      <c r="E432" s="62"/>
      <c r="F432" s="62"/>
      <c r="G432" s="62"/>
      <c r="H432" s="62"/>
    </row>
    <row r="433" spans="1:8" x14ac:dyDescent="0.35">
      <c r="A433" s="61"/>
      <c r="B433" s="62"/>
      <c r="C433" s="62"/>
      <c r="D433" s="62"/>
      <c r="E433" s="62"/>
      <c r="F433" s="62"/>
      <c r="G433" s="62"/>
      <c r="H433" s="62"/>
    </row>
    <row r="434" spans="1:8" x14ac:dyDescent="0.35">
      <c r="A434" s="61"/>
      <c r="B434" s="62"/>
      <c r="C434" s="62"/>
      <c r="D434" s="62"/>
      <c r="E434" s="62"/>
      <c r="F434" s="62"/>
      <c r="G434" s="62"/>
      <c r="H434" s="62"/>
    </row>
    <row r="435" spans="1:8" x14ac:dyDescent="0.35">
      <c r="A435" s="61"/>
      <c r="B435" s="62"/>
      <c r="C435" s="62"/>
      <c r="D435" s="62"/>
      <c r="E435" s="62"/>
      <c r="F435" s="62"/>
      <c r="G435" s="62"/>
      <c r="H435" s="62"/>
    </row>
    <row r="436" spans="1:8" x14ac:dyDescent="0.35">
      <c r="A436" s="61"/>
      <c r="B436" s="62"/>
      <c r="C436" s="62"/>
      <c r="D436" s="62"/>
      <c r="E436" s="62"/>
      <c r="F436" s="62"/>
      <c r="G436" s="62"/>
      <c r="H436" s="62"/>
    </row>
    <row r="437" spans="1:8" x14ac:dyDescent="0.35">
      <c r="A437" s="61"/>
      <c r="B437" s="62"/>
      <c r="C437" s="62"/>
      <c r="D437" s="62"/>
      <c r="E437" s="62"/>
      <c r="F437" s="62"/>
      <c r="G437" s="62"/>
      <c r="H437" s="62"/>
    </row>
    <row r="438" spans="1:8" x14ac:dyDescent="0.35">
      <c r="A438" s="61"/>
      <c r="B438" s="62"/>
      <c r="C438" s="62"/>
      <c r="D438" s="62"/>
      <c r="E438" s="62"/>
      <c r="F438" s="62"/>
      <c r="G438" s="62"/>
      <c r="H438" s="62"/>
    </row>
    <row r="439" spans="1:8" x14ac:dyDescent="0.35">
      <c r="A439" s="61"/>
      <c r="B439" s="62"/>
      <c r="C439" s="62"/>
      <c r="D439" s="62"/>
      <c r="E439" s="62"/>
      <c r="F439" s="62"/>
      <c r="G439" s="62"/>
      <c r="H439" s="62"/>
    </row>
    <row r="440" spans="1:8" x14ac:dyDescent="0.35">
      <c r="A440" s="61"/>
      <c r="B440" s="62"/>
      <c r="C440" s="62"/>
      <c r="D440" s="62"/>
      <c r="E440" s="62"/>
      <c r="F440" s="62"/>
      <c r="G440" s="62"/>
      <c r="H440" s="62"/>
    </row>
    <row r="441" spans="1:8" x14ac:dyDescent="0.35">
      <c r="A441" s="61"/>
      <c r="B441" s="62"/>
      <c r="C441" s="62"/>
      <c r="D441" s="62"/>
      <c r="E441" s="62"/>
      <c r="F441" s="62"/>
      <c r="G441" s="62"/>
      <c r="H441" s="62"/>
    </row>
    <row r="442" spans="1:8" x14ac:dyDescent="0.35">
      <c r="A442" s="61"/>
      <c r="B442" s="62"/>
      <c r="C442" s="62"/>
      <c r="D442" s="62"/>
      <c r="E442" s="62"/>
      <c r="F442" s="62"/>
      <c r="G442" s="62"/>
      <c r="H442" s="62"/>
    </row>
    <row r="443" spans="1:8" x14ac:dyDescent="0.35">
      <c r="A443" s="61"/>
      <c r="B443" s="62"/>
      <c r="C443" s="62"/>
      <c r="D443" s="62"/>
      <c r="E443" s="62"/>
      <c r="F443" s="62"/>
      <c r="G443" s="62"/>
      <c r="H443" s="62"/>
    </row>
    <row r="444" spans="1:8" x14ac:dyDescent="0.35">
      <c r="A444" s="61"/>
      <c r="B444" s="62"/>
      <c r="C444" s="62"/>
      <c r="D444" s="62"/>
      <c r="E444" s="62"/>
      <c r="F444" s="62"/>
      <c r="G444" s="62"/>
      <c r="H444" s="62"/>
    </row>
    <row r="445" spans="1:8" x14ac:dyDescent="0.35">
      <c r="A445" s="61"/>
      <c r="B445" s="62"/>
      <c r="C445" s="62"/>
      <c r="D445" s="62"/>
      <c r="E445" s="62"/>
      <c r="F445" s="62"/>
      <c r="G445" s="62"/>
      <c r="H445" s="62"/>
    </row>
    <row r="446" spans="1:8" x14ac:dyDescent="0.35">
      <c r="A446" s="61"/>
      <c r="B446" s="62"/>
      <c r="C446" s="62"/>
      <c r="D446" s="62"/>
      <c r="E446" s="62"/>
      <c r="F446" s="62"/>
      <c r="G446" s="62"/>
      <c r="H446" s="62"/>
    </row>
    <row r="447" spans="1:8" x14ac:dyDescent="0.35">
      <c r="A447" s="61"/>
      <c r="B447" s="62"/>
      <c r="C447" s="62"/>
      <c r="D447" s="62"/>
      <c r="E447" s="62"/>
      <c r="F447" s="62"/>
      <c r="G447" s="62"/>
      <c r="H447" s="62"/>
    </row>
    <row r="448" spans="1:8" x14ac:dyDescent="0.35">
      <c r="A448" s="61"/>
      <c r="B448" s="62"/>
      <c r="C448" s="62"/>
      <c r="D448" s="62"/>
      <c r="E448" s="62"/>
      <c r="F448" s="62"/>
      <c r="G448" s="62"/>
      <c r="H448" s="62"/>
    </row>
    <row r="449" spans="1:8" x14ac:dyDescent="0.35">
      <c r="A449" s="61"/>
      <c r="B449" s="62"/>
      <c r="C449" s="62"/>
      <c r="D449" s="62"/>
      <c r="E449" s="62"/>
      <c r="F449" s="62"/>
      <c r="G449" s="62"/>
      <c r="H449" s="62"/>
    </row>
    <row r="450" spans="1:8" x14ac:dyDescent="0.35">
      <c r="A450" s="61"/>
      <c r="B450" s="62"/>
      <c r="C450" s="62"/>
      <c r="D450" s="62"/>
      <c r="E450" s="62"/>
      <c r="F450" s="62"/>
      <c r="G450" s="62"/>
      <c r="H450" s="62"/>
    </row>
    <row r="451" spans="1:8" x14ac:dyDescent="0.35">
      <c r="A451" s="61"/>
      <c r="B451" s="62"/>
      <c r="C451" s="62"/>
      <c r="D451" s="62"/>
      <c r="E451" s="62"/>
      <c r="F451" s="62"/>
      <c r="G451" s="62"/>
      <c r="H451" s="62"/>
    </row>
    <row r="452" spans="1:8" x14ac:dyDescent="0.35">
      <c r="A452" s="61"/>
      <c r="B452" s="62"/>
      <c r="C452" s="62"/>
      <c r="D452" s="62"/>
      <c r="E452" s="62"/>
      <c r="F452" s="62"/>
      <c r="G452" s="62"/>
      <c r="H452" s="62"/>
    </row>
    <row r="453" spans="1:8" x14ac:dyDescent="0.35">
      <c r="A453" s="61"/>
      <c r="B453" s="62"/>
      <c r="C453" s="62"/>
      <c r="D453" s="62"/>
      <c r="E453" s="62"/>
      <c r="F453" s="62"/>
      <c r="G453" s="62"/>
      <c r="H453" s="62"/>
    </row>
    <row r="454" spans="1:8" x14ac:dyDescent="0.35">
      <c r="A454" s="61"/>
      <c r="B454" s="62"/>
      <c r="C454" s="62"/>
      <c r="D454" s="62"/>
      <c r="E454" s="62"/>
      <c r="F454" s="62"/>
      <c r="G454" s="62"/>
      <c r="H454" s="62"/>
    </row>
    <row r="455" spans="1:8" x14ac:dyDescent="0.35">
      <c r="A455" s="61"/>
      <c r="B455" s="62"/>
      <c r="C455" s="62"/>
      <c r="D455" s="62"/>
      <c r="E455" s="62"/>
      <c r="F455" s="62"/>
      <c r="G455" s="62"/>
      <c r="H455" s="62"/>
    </row>
    <row r="456" spans="1:8" x14ac:dyDescent="0.35">
      <c r="A456" s="61"/>
      <c r="B456" s="62"/>
      <c r="C456" s="62"/>
      <c r="D456" s="62"/>
      <c r="E456" s="62"/>
      <c r="F456" s="62"/>
      <c r="G456" s="62"/>
      <c r="H456" s="62"/>
    </row>
    <row r="457" spans="1:8" x14ac:dyDescent="0.35">
      <c r="A457" s="61"/>
      <c r="B457" s="62"/>
      <c r="C457" s="62"/>
      <c r="D457" s="62"/>
      <c r="E457" s="62"/>
      <c r="F457" s="62"/>
      <c r="G457" s="62"/>
      <c r="H457" s="62"/>
    </row>
    <row r="458" spans="1:8" x14ac:dyDescent="0.35">
      <c r="A458" s="61"/>
      <c r="B458" s="62"/>
      <c r="C458" s="62"/>
      <c r="D458" s="62"/>
      <c r="E458" s="62"/>
      <c r="F458" s="62"/>
      <c r="G458" s="62"/>
      <c r="H458" s="62"/>
    </row>
    <row r="459" spans="1:8" x14ac:dyDescent="0.35">
      <c r="A459" s="61"/>
      <c r="B459" s="62"/>
      <c r="C459" s="62"/>
      <c r="D459" s="62"/>
      <c r="E459" s="62"/>
      <c r="F459" s="62"/>
      <c r="G459" s="62"/>
      <c r="H459" s="62"/>
    </row>
    <row r="460" spans="1:8" x14ac:dyDescent="0.35">
      <c r="A460" s="61"/>
      <c r="B460" s="62"/>
      <c r="C460" s="62"/>
      <c r="D460" s="62"/>
      <c r="E460" s="62"/>
      <c r="F460" s="62"/>
      <c r="G460" s="62"/>
      <c r="H460" s="62"/>
    </row>
    <row r="461" spans="1:8" x14ac:dyDescent="0.35">
      <c r="A461" s="61"/>
      <c r="B461" s="62"/>
      <c r="C461" s="62"/>
      <c r="D461" s="62"/>
      <c r="E461" s="62"/>
      <c r="F461" s="62"/>
      <c r="G461" s="62"/>
      <c r="H461" s="62"/>
    </row>
    <row r="462" spans="1:8" x14ac:dyDescent="0.35">
      <c r="A462" s="61"/>
      <c r="B462" s="62"/>
      <c r="C462" s="62"/>
      <c r="D462" s="62"/>
      <c r="E462" s="62"/>
      <c r="F462" s="62"/>
      <c r="G462" s="62"/>
      <c r="H462" s="62"/>
    </row>
    <row r="463" spans="1:8" x14ac:dyDescent="0.35">
      <c r="A463" s="61"/>
      <c r="B463" s="62"/>
      <c r="C463" s="62"/>
      <c r="D463" s="62"/>
      <c r="E463" s="62"/>
      <c r="F463" s="62"/>
      <c r="G463" s="62"/>
      <c r="H463" s="62"/>
    </row>
    <row r="464" spans="1:8" x14ac:dyDescent="0.35">
      <c r="A464" s="61"/>
      <c r="B464" s="62"/>
      <c r="C464" s="62"/>
      <c r="D464" s="62"/>
      <c r="E464" s="62"/>
      <c r="F464" s="62"/>
      <c r="G464" s="62"/>
      <c r="H464" s="62"/>
    </row>
    <row r="465" spans="1:8" x14ac:dyDescent="0.35">
      <c r="A465" s="61"/>
      <c r="B465" s="62"/>
      <c r="C465" s="62"/>
      <c r="D465" s="62"/>
      <c r="E465" s="62"/>
      <c r="F465" s="62"/>
      <c r="G465" s="62"/>
      <c r="H465" s="62"/>
    </row>
    <row r="466" spans="1:8" x14ac:dyDescent="0.35">
      <c r="A466" s="61"/>
      <c r="B466" s="62"/>
      <c r="C466" s="62"/>
      <c r="D466" s="62"/>
      <c r="E466" s="62"/>
      <c r="F466" s="62"/>
      <c r="G466" s="62"/>
      <c r="H466" s="62"/>
    </row>
    <row r="467" spans="1:8" x14ac:dyDescent="0.35">
      <c r="A467" s="61"/>
      <c r="B467" s="62"/>
      <c r="C467" s="62"/>
      <c r="D467" s="62"/>
      <c r="E467" s="62"/>
      <c r="F467" s="62"/>
      <c r="G467" s="62"/>
      <c r="H467" s="62"/>
    </row>
    <row r="468" spans="1:8" x14ac:dyDescent="0.35">
      <c r="A468" s="61"/>
      <c r="B468" s="62"/>
      <c r="C468" s="62"/>
      <c r="D468" s="62"/>
      <c r="E468" s="62"/>
      <c r="F468" s="62"/>
      <c r="G468" s="62"/>
      <c r="H468" s="62"/>
    </row>
    <row r="469" spans="1:8" x14ac:dyDescent="0.35">
      <c r="A469" s="61"/>
      <c r="B469" s="62"/>
      <c r="C469" s="62"/>
      <c r="D469" s="62"/>
      <c r="E469" s="62"/>
      <c r="F469" s="62"/>
      <c r="G469" s="62"/>
      <c r="H469" s="62"/>
    </row>
    <row r="470" spans="1:8" x14ac:dyDescent="0.35">
      <c r="A470" s="61"/>
      <c r="B470" s="62"/>
      <c r="C470" s="62"/>
      <c r="D470" s="62"/>
      <c r="E470" s="62"/>
      <c r="F470" s="62"/>
      <c r="G470" s="62"/>
      <c r="H470" s="62"/>
    </row>
    <row r="471" spans="1:8" x14ac:dyDescent="0.35">
      <c r="A471" s="61"/>
      <c r="B471" s="62"/>
      <c r="C471" s="62"/>
      <c r="D471" s="62"/>
      <c r="E471" s="62"/>
      <c r="F471" s="62"/>
      <c r="G471" s="62"/>
      <c r="H471" s="62"/>
    </row>
    <row r="472" spans="1:8" x14ac:dyDescent="0.35">
      <c r="A472" s="61"/>
      <c r="B472" s="62"/>
      <c r="C472" s="62"/>
      <c r="D472" s="62"/>
      <c r="E472" s="62"/>
      <c r="F472" s="62"/>
      <c r="G472" s="62"/>
      <c r="H472" s="62"/>
    </row>
    <row r="473" spans="1:8" x14ac:dyDescent="0.35">
      <c r="A473" s="61"/>
      <c r="B473" s="62"/>
      <c r="C473" s="62"/>
      <c r="D473" s="62"/>
      <c r="E473" s="62"/>
      <c r="F473" s="62"/>
      <c r="G473" s="62"/>
      <c r="H473" s="62"/>
    </row>
    <row r="474" spans="1:8" x14ac:dyDescent="0.35">
      <c r="A474" s="61"/>
      <c r="B474" s="62"/>
      <c r="C474" s="62"/>
      <c r="D474" s="62"/>
      <c r="E474" s="62"/>
      <c r="F474" s="62"/>
      <c r="G474" s="62"/>
      <c r="H474" s="62"/>
    </row>
    <row r="475" spans="1:8" x14ac:dyDescent="0.35">
      <c r="A475" s="61"/>
      <c r="B475" s="62"/>
      <c r="C475" s="62"/>
      <c r="D475" s="62"/>
      <c r="E475" s="62"/>
      <c r="F475" s="62"/>
      <c r="G475" s="62"/>
      <c r="H475" s="62"/>
    </row>
    <row r="476" spans="1:8" x14ac:dyDescent="0.35">
      <c r="A476" s="61"/>
      <c r="B476" s="62"/>
      <c r="C476" s="62"/>
      <c r="D476" s="62"/>
      <c r="E476" s="62"/>
      <c r="F476" s="62"/>
      <c r="G476" s="62"/>
      <c r="H476" s="62"/>
    </row>
    <row r="477" spans="1:8" x14ac:dyDescent="0.35">
      <c r="A477" s="61"/>
      <c r="B477" s="62"/>
      <c r="C477" s="62"/>
      <c r="D477" s="62"/>
      <c r="E477" s="62"/>
      <c r="F477" s="62"/>
      <c r="G477" s="62"/>
      <c r="H477" s="62"/>
    </row>
    <row r="478" spans="1:8" x14ac:dyDescent="0.35">
      <c r="A478" s="61"/>
      <c r="B478" s="62"/>
      <c r="C478" s="62"/>
      <c r="D478" s="62"/>
      <c r="E478" s="62"/>
      <c r="F478" s="62"/>
      <c r="G478" s="62"/>
      <c r="H478" s="62"/>
    </row>
    <row r="479" spans="1:8" x14ac:dyDescent="0.35">
      <c r="A479" s="61"/>
      <c r="B479" s="62"/>
      <c r="C479" s="62"/>
      <c r="D479" s="62"/>
      <c r="E479" s="62"/>
      <c r="F479" s="62"/>
      <c r="G479" s="62"/>
      <c r="H479" s="62"/>
    </row>
    <row r="480" spans="1:8" x14ac:dyDescent="0.35">
      <c r="A480" s="61"/>
      <c r="B480" s="62"/>
      <c r="C480" s="62"/>
      <c r="D480" s="62"/>
      <c r="E480" s="62"/>
      <c r="F480" s="62"/>
      <c r="G480" s="62"/>
      <c r="H480" s="62"/>
    </row>
    <row r="481" spans="1:8" x14ac:dyDescent="0.35">
      <c r="A481" s="61"/>
      <c r="B481" s="62"/>
      <c r="C481" s="62"/>
      <c r="D481" s="62"/>
      <c r="E481" s="62"/>
      <c r="F481" s="62"/>
      <c r="G481" s="62"/>
      <c r="H481" s="62"/>
    </row>
    <row r="482" spans="1:8" x14ac:dyDescent="0.35">
      <c r="A482" s="61"/>
      <c r="B482" s="62"/>
      <c r="C482" s="62"/>
      <c r="D482" s="62"/>
      <c r="E482" s="62"/>
      <c r="F482" s="62"/>
      <c r="G482" s="62"/>
      <c r="H482" s="62"/>
    </row>
    <row r="483" spans="1:8" x14ac:dyDescent="0.35">
      <c r="A483" s="61"/>
      <c r="B483" s="62"/>
      <c r="C483" s="62"/>
      <c r="D483" s="62"/>
      <c r="E483" s="62"/>
      <c r="F483" s="62"/>
      <c r="G483" s="62"/>
      <c r="H483" s="62"/>
    </row>
    <row r="484" spans="1:8" x14ac:dyDescent="0.35">
      <c r="A484" s="61"/>
      <c r="B484" s="62"/>
      <c r="C484" s="62"/>
      <c r="D484" s="62"/>
      <c r="E484" s="62"/>
      <c r="F484" s="62"/>
      <c r="G484" s="62"/>
      <c r="H484" s="62"/>
    </row>
    <row r="485" spans="1:8" x14ac:dyDescent="0.35">
      <c r="A485" s="61"/>
      <c r="B485" s="62"/>
      <c r="C485" s="62"/>
      <c r="D485" s="62"/>
      <c r="E485" s="62"/>
      <c r="F485" s="62"/>
      <c r="G485" s="62"/>
      <c r="H485" s="62"/>
    </row>
    <row r="486" spans="1:8" x14ac:dyDescent="0.35">
      <c r="A486" s="61"/>
      <c r="B486" s="62"/>
      <c r="C486" s="62"/>
      <c r="D486" s="62"/>
      <c r="E486" s="62"/>
      <c r="F486" s="62"/>
      <c r="G486" s="62"/>
      <c r="H486" s="62"/>
    </row>
    <row r="487" spans="1:8" x14ac:dyDescent="0.35">
      <c r="A487" s="61"/>
      <c r="B487" s="62"/>
      <c r="C487" s="62"/>
      <c r="D487" s="62"/>
      <c r="E487" s="62"/>
      <c r="F487" s="62"/>
      <c r="G487" s="62"/>
      <c r="H487" s="62"/>
    </row>
    <row r="488" spans="1:8" x14ac:dyDescent="0.35">
      <c r="A488" s="61"/>
      <c r="B488" s="62"/>
      <c r="C488" s="62"/>
      <c r="D488" s="62"/>
      <c r="E488" s="62"/>
      <c r="F488" s="62"/>
      <c r="G488" s="62"/>
      <c r="H488" s="62"/>
    </row>
    <row r="489" spans="1:8" x14ac:dyDescent="0.35">
      <c r="A489" s="61"/>
      <c r="B489" s="62"/>
      <c r="C489" s="62"/>
      <c r="D489" s="62"/>
      <c r="E489" s="62"/>
      <c r="F489" s="62"/>
      <c r="G489" s="62"/>
      <c r="H489" s="62"/>
    </row>
    <row r="490" spans="1:8" x14ac:dyDescent="0.35">
      <c r="A490" s="61"/>
      <c r="B490" s="62"/>
      <c r="C490" s="62"/>
      <c r="D490" s="62"/>
      <c r="E490" s="62"/>
      <c r="F490" s="62"/>
      <c r="G490" s="62"/>
      <c r="H490" s="62"/>
    </row>
    <row r="491" spans="1:8" x14ac:dyDescent="0.35">
      <c r="A491" s="61"/>
      <c r="B491" s="62"/>
      <c r="C491" s="62"/>
      <c r="D491" s="62"/>
      <c r="E491" s="62"/>
      <c r="F491" s="62"/>
      <c r="G491" s="62"/>
      <c r="H491" s="62"/>
    </row>
    <row r="492" spans="1:8" x14ac:dyDescent="0.35">
      <c r="A492" s="61"/>
      <c r="B492" s="62"/>
      <c r="C492" s="62"/>
      <c r="D492" s="62"/>
      <c r="E492" s="62"/>
      <c r="F492" s="62"/>
      <c r="G492" s="62"/>
      <c r="H492" s="62"/>
    </row>
    <row r="493" spans="1:8" x14ac:dyDescent="0.35">
      <c r="A493" s="61"/>
      <c r="B493" s="62"/>
      <c r="C493" s="62"/>
      <c r="D493" s="62"/>
      <c r="E493" s="62"/>
      <c r="F493" s="62"/>
      <c r="G493" s="62"/>
      <c r="H493" s="62"/>
    </row>
    <row r="494" spans="1:8" x14ac:dyDescent="0.35">
      <c r="A494" s="61"/>
      <c r="B494" s="62"/>
      <c r="C494" s="62"/>
      <c r="D494" s="62"/>
      <c r="E494" s="62"/>
      <c r="F494" s="62"/>
      <c r="G494" s="62"/>
      <c r="H494" s="62"/>
    </row>
    <row r="495" spans="1:8" x14ac:dyDescent="0.35">
      <c r="A495" s="61"/>
      <c r="B495" s="62"/>
      <c r="C495" s="62"/>
      <c r="D495" s="62"/>
      <c r="E495" s="62"/>
      <c r="F495" s="62"/>
      <c r="G495" s="62"/>
      <c r="H495" s="62"/>
    </row>
    <row r="496" spans="1:8" x14ac:dyDescent="0.35">
      <c r="A496" s="61"/>
      <c r="B496" s="62"/>
      <c r="C496" s="62"/>
      <c r="D496" s="62"/>
      <c r="E496" s="62"/>
      <c r="F496" s="62"/>
      <c r="G496" s="62"/>
      <c r="H496" s="62"/>
    </row>
    <row r="497" spans="1:8" x14ac:dyDescent="0.35">
      <c r="A497" s="61"/>
      <c r="B497" s="62"/>
      <c r="C497" s="62"/>
      <c r="D497" s="62"/>
      <c r="E497" s="62"/>
      <c r="F497" s="62"/>
      <c r="G497" s="62"/>
      <c r="H497" s="62"/>
    </row>
    <row r="498" spans="1:8" x14ac:dyDescent="0.35">
      <c r="A498" s="61"/>
      <c r="B498" s="62"/>
      <c r="C498" s="62"/>
      <c r="D498" s="62"/>
      <c r="E498" s="62"/>
      <c r="F498" s="62"/>
      <c r="G498" s="62"/>
      <c r="H498" s="62"/>
    </row>
    <row r="499" spans="1:8" x14ac:dyDescent="0.35">
      <c r="A499" s="61"/>
      <c r="B499" s="62"/>
      <c r="C499" s="62"/>
      <c r="D499" s="62"/>
      <c r="E499" s="62"/>
      <c r="F499" s="62"/>
      <c r="G499" s="62"/>
      <c r="H499" s="62"/>
    </row>
    <row r="500" spans="1:8" x14ac:dyDescent="0.35">
      <c r="A500" s="61"/>
      <c r="B500" s="62"/>
      <c r="C500" s="62"/>
      <c r="D500" s="62"/>
      <c r="E500" s="62"/>
      <c r="F500" s="62"/>
      <c r="G500" s="62"/>
      <c r="H500" s="62"/>
    </row>
    <row r="501" spans="1:8" x14ac:dyDescent="0.35">
      <c r="A501" s="61"/>
      <c r="B501" s="62"/>
      <c r="C501" s="62"/>
      <c r="D501" s="62"/>
      <c r="E501" s="62"/>
      <c r="F501" s="62"/>
      <c r="G501" s="62"/>
      <c r="H501" s="62"/>
    </row>
    <row r="502" spans="1:8" x14ac:dyDescent="0.35">
      <c r="A502" s="61"/>
      <c r="B502" s="62"/>
      <c r="C502" s="62"/>
      <c r="D502" s="62"/>
      <c r="E502" s="62"/>
      <c r="F502" s="62"/>
      <c r="G502" s="62"/>
      <c r="H502" s="62"/>
    </row>
    <row r="503" spans="1:8" x14ac:dyDescent="0.35">
      <c r="A503" s="61"/>
      <c r="B503" s="62"/>
      <c r="C503" s="62"/>
      <c r="D503" s="62"/>
      <c r="E503" s="62"/>
      <c r="F503" s="62"/>
      <c r="G503" s="62"/>
      <c r="H503" s="62"/>
    </row>
    <row r="504" spans="1:8" x14ac:dyDescent="0.35">
      <c r="A504" s="61"/>
      <c r="B504" s="62"/>
      <c r="C504" s="62"/>
      <c r="D504" s="62"/>
      <c r="E504" s="62"/>
      <c r="F504" s="62"/>
      <c r="G504" s="62"/>
      <c r="H504" s="62"/>
    </row>
    <row r="505" spans="1:8" x14ac:dyDescent="0.35">
      <c r="A505" s="61"/>
      <c r="B505" s="62"/>
      <c r="C505" s="62"/>
      <c r="D505" s="62"/>
      <c r="E505" s="62"/>
      <c r="F505" s="62"/>
      <c r="G505" s="62"/>
      <c r="H505" s="62"/>
    </row>
    <row r="506" spans="1:8" x14ac:dyDescent="0.35">
      <c r="A506" s="61"/>
      <c r="B506" s="62"/>
      <c r="C506" s="62"/>
      <c r="D506" s="62"/>
      <c r="E506" s="62"/>
      <c r="F506" s="62"/>
      <c r="G506" s="62"/>
      <c r="H506" s="62"/>
    </row>
    <row r="507" spans="1:8" x14ac:dyDescent="0.35">
      <c r="A507" s="61"/>
      <c r="B507" s="62"/>
      <c r="C507" s="62"/>
      <c r="D507" s="62"/>
      <c r="E507" s="62"/>
      <c r="F507" s="62"/>
      <c r="G507" s="62"/>
      <c r="H507" s="62"/>
    </row>
    <row r="508" spans="1:8" x14ac:dyDescent="0.35">
      <c r="A508" s="61"/>
      <c r="B508" s="62"/>
      <c r="C508" s="62"/>
      <c r="D508" s="62"/>
      <c r="E508" s="62"/>
      <c r="F508" s="62"/>
      <c r="G508" s="62"/>
      <c r="H508" s="62"/>
    </row>
    <row r="509" spans="1:8" x14ac:dyDescent="0.35">
      <c r="A509" s="61"/>
      <c r="B509" s="62"/>
      <c r="C509" s="62"/>
      <c r="D509" s="62"/>
      <c r="E509" s="62"/>
      <c r="F509" s="62"/>
      <c r="G509" s="62"/>
      <c r="H509" s="62"/>
    </row>
    <row r="510" spans="1:8" x14ac:dyDescent="0.35">
      <c r="A510" s="61"/>
      <c r="B510" s="62"/>
      <c r="C510" s="62"/>
      <c r="D510" s="62"/>
      <c r="E510" s="62"/>
      <c r="F510" s="62"/>
      <c r="G510" s="62"/>
      <c r="H510" s="62"/>
    </row>
    <row r="511" spans="1:8" x14ac:dyDescent="0.35">
      <c r="A511" s="61"/>
      <c r="B511" s="62"/>
      <c r="C511" s="62"/>
      <c r="D511" s="62"/>
      <c r="E511" s="62"/>
      <c r="F511" s="62"/>
      <c r="G511" s="62"/>
      <c r="H511" s="62"/>
    </row>
    <row r="512" spans="1:8" x14ac:dyDescent="0.35">
      <c r="A512" s="61"/>
      <c r="B512" s="62"/>
      <c r="C512" s="62"/>
      <c r="D512" s="62"/>
      <c r="E512" s="62"/>
      <c r="F512" s="62"/>
      <c r="G512" s="62"/>
      <c r="H512" s="62"/>
    </row>
    <row r="513" spans="1:8" x14ac:dyDescent="0.35">
      <c r="A513" s="61"/>
      <c r="B513" s="62"/>
      <c r="C513" s="62"/>
      <c r="D513" s="62"/>
      <c r="E513" s="62"/>
      <c r="F513" s="62"/>
      <c r="G513" s="62"/>
      <c r="H513" s="62"/>
    </row>
    <row r="514" spans="1:8" x14ac:dyDescent="0.35">
      <c r="A514" s="61"/>
      <c r="B514" s="62"/>
      <c r="C514" s="62"/>
      <c r="D514" s="62"/>
      <c r="E514" s="62"/>
      <c r="F514" s="62"/>
      <c r="G514" s="62"/>
      <c r="H514" s="62"/>
    </row>
    <row r="515" spans="1:8" x14ac:dyDescent="0.35">
      <c r="A515" s="61"/>
      <c r="B515" s="62"/>
      <c r="C515" s="62"/>
      <c r="D515" s="62"/>
      <c r="E515" s="62"/>
      <c r="F515" s="62"/>
      <c r="G515" s="62"/>
      <c r="H515" s="62"/>
    </row>
    <row r="516" spans="1:8" x14ac:dyDescent="0.35">
      <c r="A516" s="61"/>
      <c r="B516" s="62"/>
      <c r="C516" s="62"/>
      <c r="D516" s="62"/>
      <c r="E516" s="62"/>
      <c r="F516" s="62"/>
      <c r="G516" s="62"/>
      <c r="H516" s="62"/>
    </row>
    <row r="517" spans="1:8" x14ac:dyDescent="0.35">
      <c r="A517" s="61"/>
      <c r="B517" s="62"/>
      <c r="C517" s="62"/>
      <c r="D517" s="62"/>
      <c r="E517" s="62"/>
      <c r="F517" s="62"/>
      <c r="G517" s="62"/>
      <c r="H517" s="62"/>
    </row>
    <row r="518" spans="1:8" x14ac:dyDescent="0.35">
      <c r="A518" s="61"/>
      <c r="B518" s="62"/>
      <c r="C518" s="62"/>
      <c r="D518" s="62"/>
      <c r="E518" s="62"/>
      <c r="F518" s="62"/>
      <c r="G518" s="62"/>
      <c r="H518" s="62"/>
    </row>
    <row r="519" spans="1:8" x14ac:dyDescent="0.35">
      <c r="A519" s="61"/>
      <c r="B519" s="62"/>
      <c r="C519" s="62"/>
      <c r="D519" s="62"/>
      <c r="E519" s="62"/>
      <c r="F519" s="62"/>
      <c r="G519" s="62"/>
      <c r="H519" s="62"/>
    </row>
    <row r="520" spans="1:8" x14ac:dyDescent="0.35">
      <c r="A520" s="61"/>
      <c r="B520" s="62"/>
      <c r="C520" s="62"/>
      <c r="D520" s="62"/>
      <c r="E520" s="62"/>
      <c r="F520" s="62"/>
      <c r="G520" s="62"/>
      <c r="H520" s="62"/>
    </row>
    <row r="521" spans="1:8" x14ac:dyDescent="0.35">
      <c r="A521" s="61"/>
      <c r="B521" s="62"/>
      <c r="C521" s="62"/>
      <c r="D521" s="62"/>
      <c r="E521" s="62"/>
      <c r="F521" s="62"/>
      <c r="G521" s="62"/>
      <c r="H521" s="62"/>
    </row>
    <row r="522" spans="1:8" x14ac:dyDescent="0.35">
      <c r="A522" s="61"/>
      <c r="B522" s="62"/>
      <c r="C522" s="62"/>
      <c r="D522" s="62"/>
      <c r="E522" s="62"/>
      <c r="F522" s="62"/>
      <c r="G522" s="62"/>
      <c r="H522" s="62"/>
    </row>
    <row r="523" spans="1:8" x14ac:dyDescent="0.35">
      <c r="A523" s="61"/>
      <c r="B523" s="62"/>
      <c r="C523" s="62"/>
      <c r="D523" s="62"/>
      <c r="E523" s="62"/>
      <c r="F523" s="62"/>
      <c r="G523" s="62"/>
      <c r="H523" s="62"/>
    </row>
    <row r="524" spans="1:8" x14ac:dyDescent="0.35">
      <c r="A524" s="61"/>
      <c r="B524" s="62"/>
      <c r="C524" s="62"/>
      <c r="D524" s="62"/>
      <c r="E524" s="62"/>
      <c r="F524" s="62"/>
      <c r="G524" s="62"/>
      <c r="H524" s="62"/>
    </row>
    <row r="525" spans="1:8" x14ac:dyDescent="0.35">
      <c r="A525" s="61"/>
      <c r="B525" s="62"/>
      <c r="C525" s="62"/>
      <c r="D525" s="62"/>
      <c r="E525" s="62"/>
      <c r="F525" s="62"/>
      <c r="G525" s="62"/>
      <c r="H525" s="62"/>
    </row>
    <row r="526" spans="1:8" x14ac:dyDescent="0.35">
      <c r="A526" s="61"/>
      <c r="B526" s="62"/>
      <c r="C526" s="62"/>
      <c r="D526" s="62"/>
      <c r="E526" s="62"/>
      <c r="F526" s="62"/>
      <c r="G526" s="62"/>
      <c r="H526" s="62"/>
    </row>
    <row r="527" spans="1:8" x14ac:dyDescent="0.35">
      <c r="A527" s="61"/>
      <c r="B527" s="62"/>
      <c r="C527" s="62"/>
      <c r="D527" s="62"/>
      <c r="E527" s="62"/>
      <c r="F527" s="62"/>
      <c r="G527" s="62"/>
      <c r="H527" s="62"/>
    </row>
    <row r="528" spans="1:8" x14ac:dyDescent="0.35">
      <c r="A528" s="61"/>
      <c r="B528" s="62"/>
      <c r="C528" s="62"/>
      <c r="D528" s="62"/>
      <c r="E528" s="62"/>
      <c r="F528" s="62"/>
      <c r="G528" s="62"/>
      <c r="H528" s="62"/>
    </row>
    <row r="529" spans="1:8" x14ac:dyDescent="0.35">
      <c r="A529" s="61"/>
      <c r="B529" s="62"/>
      <c r="C529" s="62"/>
      <c r="D529" s="62"/>
      <c r="E529" s="62"/>
      <c r="F529" s="62"/>
      <c r="G529" s="62"/>
      <c r="H529" s="62"/>
    </row>
    <row r="530" spans="1:8" x14ac:dyDescent="0.35">
      <c r="A530" s="61"/>
      <c r="B530" s="62"/>
      <c r="C530" s="62"/>
      <c r="D530" s="62"/>
      <c r="E530" s="62"/>
      <c r="F530" s="62"/>
      <c r="G530" s="62"/>
      <c r="H530" s="62"/>
    </row>
    <row r="531" spans="1:8" x14ac:dyDescent="0.35">
      <c r="A531" s="61"/>
      <c r="B531" s="62"/>
      <c r="C531" s="62"/>
      <c r="D531" s="62"/>
      <c r="E531" s="62"/>
      <c r="F531" s="62"/>
      <c r="G531" s="62"/>
      <c r="H531" s="62"/>
    </row>
    <row r="532" spans="1:8" x14ac:dyDescent="0.35">
      <c r="A532" s="61"/>
      <c r="B532" s="62"/>
      <c r="C532" s="62"/>
      <c r="D532" s="62"/>
      <c r="E532" s="62"/>
      <c r="F532" s="62"/>
      <c r="G532" s="62"/>
      <c r="H532" s="62"/>
    </row>
    <row r="533" spans="1:8" x14ac:dyDescent="0.35">
      <c r="A533" s="61"/>
      <c r="B533" s="62"/>
      <c r="C533" s="62"/>
      <c r="D533" s="62"/>
      <c r="E533" s="62"/>
      <c r="F533" s="62"/>
      <c r="G533" s="62"/>
      <c r="H533" s="62"/>
    </row>
    <row r="534" spans="1:8" x14ac:dyDescent="0.35">
      <c r="A534" s="61"/>
      <c r="B534" s="62"/>
      <c r="C534" s="62"/>
      <c r="D534" s="62"/>
      <c r="E534" s="62"/>
      <c r="F534" s="62"/>
      <c r="G534" s="62"/>
      <c r="H534" s="62"/>
    </row>
    <row r="535" spans="1:8" x14ac:dyDescent="0.35">
      <c r="A535" s="61"/>
      <c r="B535" s="62"/>
      <c r="C535" s="62"/>
      <c r="D535" s="62"/>
      <c r="E535" s="62"/>
      <c r="F535" s="62"/>
      <c r="G535" s="62"/>
      <c r="H535" s="62"/>
    </row>
    <row r="536" spans="1:8" x14ac:dyDescent="0.35">
      <c r="A536" s="61"/>
      <c r="B536" s="62"/>
      <c r="C536" s="62"/>
      <c r="D536" s="62"/>
      <c r="E536" s="62"/>
      <c r="F536" s="62"/>
      <c r="G536" s="62"/>
      <c r="H536" s="62"/>
    </row>
    <row r="537" spans="1:8" x14ac:dyDescent="0.35">
      <c r="A537" s="61"/>
      <c r="B537" s="62"/>
      <c r="C537" s="62"/>
      <c r="D537" s="62"/>
      <c r="E537" s="62"/>
      <c r="F537" s="62"/>
      <c r="G537" s="62"/>
      <c r="H537" s="62"/>
    </row>
    <row r="538" spans="1:8" x14ac:dyDescent="0.35">
      <c r="A538" s="61"/>
      <c r="B538" s="62"/>
      <c r="C538" s="62"/>
      <c r="D538" s="62"/>
      <c r="E538" s="62"/>
      <c r="F538" s="62"/>
      <c r="G538" s="62"/>
      <c r="H538" s="62"/>
    </row>
    <row r="539" spans="1:8" x14ac:dyDescent="0.35">
      <c r="A539" s="61"/>
      <c r="B539" s="62"/>
      <c r="C539" s="62"/>
      <c r="D539" s="62"/>
      <c r="E539" s="62"/>
      <c r="F539" s="62"/>
      <c r="G539" s="62"/>
      <c r="H539" s="62"/>
    </row>
    <row r="540" spans="1:8" x14ac:dyDescent="0.35">
      <c r="A540" s="61"/>
      <c r="B540" s="62"/>
      <c r="C540" s="62"/>
      <c r="D540" s="62"/>
      <c r="E540" s="62"/>
      <c r="F540" s="62"/>
      <c r="G540" s="62"/>
      <c r="H540" s="62"/>
    </row>
    <row r="541" spans="1:8" x14ac:dyDescent="0.35">
      <c r="A541" s="61"/>
      <c r="B541" s="62"/>
      <c r="C541" s="62"/>
      <c r="D541" s="62"/>
      <c r="E541" s="62"/>
      <c r="F541" s="62"/>
      <c r="G541" s="62"/>
      <c r="H541" s="62"/>
    </row>
    <row r="542" spans="1:8" x14ac:dyDescent="0.35">
      <c r="A542" s="61"/>
      <c r="B542" s="62"/>
      <c r="C542" s="62"/>
      <c r="D542" s="62"/>
      <c r="E542" s="62"/>
      <c r="F542" s="62"/>
      <c r="G542" s="62"/>
      <c r="H542" s="62"/>
    </row>
    <row r="543" spans="1:8" x14ac:dyDescent="0.35">
      <c r="A543" s="61"/>
      <c r="B543" s="62"/>
      <c r="C543" s="62"/>
      <c r="D543" s="62"/>
      <c r="E543" s="62"/>
      <c r="F543" s="62"/>
      <c r="G543" s="62"/>
      <c r="H543" s="62"/>
    </row>
    <row r="544" spans="1:8" x14ac:dyDescent="0.35">
      <c r="A544" s="61"/>
      <c r="B544" s="62"/>
      <c r="C544" s="62"/>
      <c r="D544" s="62"/>
      <c r="E544" s="62"/>
      <c r="F544" s="62"/>
      <c r="G544" s="62"/>
      <c r="H544" s="62"/>
    </row>
    <row r="545" spans="1:8" x14ac:dyDescent="0.35">
      <c r="A545" s="61"/>
      <c r="B545" s="62"/>
      <c r="C545" s="62"/>
      <c r="D545" s="62"/>
      <c r="E545" s="62"/>
      <c r="F545" s="62"/>
      <c r="G545" s="62"/>
      <c r="H545" s="62"/>
    </row>
    <row r="546" spans="1:8" x14ac:dyDescent="0.35">
      <c r="A546" s="61"/>
      <c r="B546" s="62"/>
      <c r="C546" s="62"/>
      <c r="D546" s="62"/>
      <c r="E546" s="62"/>
      <c r="F546" s="62"/>
      <c r="G546" s="62"/>
      <c r="H546" s="62"/>
    </row>
    <row r="547" spans="1:8" x14ac:dyDescent="0.35">
      <c r="A547" s="61"/>
      <c r="B547" s="62"/>
      <c r="C547" s="62"/>
      <c r="D547" s="62"/>
      <c r="E547" s="62"/>
      <c r="F547" s="62"/>
      <c r="G547" s="62"/>
      <c r="H547" s="62"/>
    </row>
    <row r="548" spans="1:8" x14ac:dyDescent="0.35">
      <c r="A548" s="61"/>
      <c r="B548" s="62"/>
      <c r="C548" s="62"/>
      <c r="D548" s="62"/>
      <c r="E548" s="62"/>
      <c r="F548" s="62"/>
      <c r="G548" s="62"/>
      <c r="H548" s="62"/>
    </row>
    <row r="549" spans="1:8" x14ac:dyDescent="0.35">
      <c r="A549" s="61"/>
      <c r="B549" s="62"/>
      <c r="C549" s="62"/>
      <c r="D549" s="62"/>
      <c r="E549" s="62"/>
      <c r="F549" s="62"/>
      <c r="G549" s="62"/>
      <c r="H549" s="62"/>
    </row>
    <row r="550" spans="1:8" x14ac:dyDescent="0.35">
      <c r="A550" s="61"/>
      <c r="B550" s="62"/>
      <c r="C550" s="62"/>
      <c r="D550" s="62"/>
      <c r="E550" s="62"/>
      <c r="F550" s="62"/>
      <c r="G550" s="62"/>
      <c r="H550" s="62"/>
    </row>
    <row r="551" spans="1:8" x14ac:dyDescent="0.35">
      <c r="A551" s="61"/>
      <c r="B551" s="62"/>
      <c r="C551" s="62"/>
      <c r="D551" s="62"/>
      <c r="E551" s="62"/>
      <c r="F551" s="62"/>
      <c r="G551" s="62"/>
      <c r="H551" s="62"/>
    </row>
    <row r="552" spans="1:8" x14ac:dyDescent="0.35">
      <c r="A552" s="61"/>
      <c r="B552" s="62"/>
      <c r="C552" s="62"/>
      <c r="D552" s="62"/>
      <c r="E552" s="62"/>
      <c r="F552" s="62"/>
      <c r="G552" s="62"/>
      <c r="H552" s="62"/>
    </row>
    <row r="553" spans="1:8" x14ac:dyDescent="0.35">
      <c r="A553" s="61"/>
      <c r="B553" s="62"/>
      <c r="C553" s="62"/>
      <c r="D553" s="62"/>
      <c r="E553" s="62"/>
      <c r="F553" s="62"/>
      <c r="G553" s="62"/>
      <c r="H553" s="62"/>
    </row>
    <row r="554" spans="1:8" x14ac:dyDescent="0.35">
      <c r="A554" s="61"/>
      <c r="B554" s="62"/>
      <c r="C554" s="62"/>
      <c r="D554" s="62"/>
      <c r="E554" s="62"/>
      <c r="F554" s="62"/>
      <c r="G554" s="62"/>
      <c r="H554" s="62"/>
    </row>
    <row r="555" spans="1:8" x14ac:dyDescent="0.35">
      <c r="A555" s="61"/>
      <c r="B555" s="62"/>
      <c r="C555" s="62"/>
      <c r="D555" s="62"/>
      <c r="E555" s="62"/>
      <c r="F555" s="62"/>
      <c r="G555" s="62"/>
      <c r="H555" s="62"/>
    </row>
    <row r="556" spans="1:8" x14ac:dyDescent="0.35">
      <c r="A556" s="61"/>
      <c r="B556" s="62"/>
      <c r="C556" s="62"/>
      <c r="D556" s="62"/>
      <c r="E556" s="62"/>
      <c r="F556" s="62"/>
      <c r="G556" s="62"/>
      <c r="H556" s="62"/>
    </row>
    <row r="557" spans="1:8" x14ac:dyDescent="0.35">
      <c r="A557" s="61"/>
      <c r="B557" s="62"/>
      <c r="C557" s="62"/>
      <c r="D557" s="62"/>
      <c r="E557" s="62"/>
      <c r="F557" s="62"/>
      <c r="G557" s="62"/>
      <c r="H557" s="62"/>
    </row>
    <row r="558" spans="1:8" x14ac:dyDescent="0.35">
      <c r="A558" s="61"/>
      <c r="B558" s="62"/>
      <c r="C558" s="62"/>
      <c r="D558" s="62"/>
      <c r="E558" s="62"/>
      <c r="F558" s="62"/>
      <c r="G558" s="62"/>
      <c r="H558" s="62"/>
    </row>
    <row r="559" spans="1:8" x14ac:dyDescent="0.35">
      <c r="A559" s="61"/>
      <c r="B559" s="62"/>
      <c r="C559" s="62"/>
      <c r="D559" s="62"/>
      <c r="E559" s="62"/>
      <c r="F559" s="62"/>
      <c r="G559" s="62"/>
      <c r="H559" s="62"/>
    </row>
    <row r="560" spans="1:8" x14ac:dyDescent="0.35">
      <c r="A560" s="61"/>
      <c r="B560" s="62"/>
      <c r="C560" s="62"/>
      <c r="D560" s="62"/>
      <c r="E560" s="62"/>
      <c r="F560" s="62"/>
      <c r="G560" s="62"/>
      <c r="H560" s="62"/>
    </row>
    <row r="561" spans="1:8" x14ac:dyDescent="0.35">
      <c r="A561" s="61"/>
      <c r="B561" s="62"/>
      <c r="C561" s="62"/>
      <c r="D561" s="62"/>
      <c r="E561" s="62"/>
      <c r="F561" s="62"/>
      <c r="G561" s="62"/>
      <c r="H561" s="62"/>
    </row>
    <row r="562" spans="1:8" x14ac:dyDescent="0.35">
      <c r="A562" s="61"/>
      <c r="B562" s="62"/>
      <c r="C562" s="62"/>
      <c r="D562" s="62"/>
      <c r="E562" s="62"/>
      <c r="F562" s="62"/>
      <c r="G562" s="62"/>
      <c r="H562" s="62"/>
    </row>
    <row r="563" spans="1:8" x14ac:dyDescent="0.35">
      <c r="A563" s="61"/>
      <c r="B563" s="62"/>
      <c r="C563" s="62"/>
      <c r="D563" s="62"/>
      <c r="E563" s="62"/>
      <c r="F563" s="62"/>
      <c r="G563" s="62"/>
      <c r="H563" s="62"/>
    </row>
    <row r="564" spans="1:8" x14ac:dyDescent="0.35">
      <c r="A564" s="61"/>
      <c r="B564" s="62"/>
      <c r="C564" s="62"/>
      <c r="D564" s="62"/>
      <c r="E564" s="62"/>
      <c r="F564" s="62"/>
      <c r="G564" s="62"/>
      <c r="H564" s="62"/>
    </row>
    <row r="565" spans="1:8" x14ac:dyDescent="0.35">
      <c r="A565" s="61"/>
      <c r="B565" s="62"/>
      <c r="C565" s="62"/>
      <c r="D565" s="62"/>
      <c r="E565" s="62"/>
      <c r="F565" s="62"/>
      <c r="G565" s="62"/>
      <c r="H565" s="62"/>
    </row>
    <row r="566" spans="1:8" x14ac:dyDescent="0.35">
      <c r="A566" s="61"/>
      <c r="B566" s="62"/>
      <c r="C566" s="62"/>
      <c r="D566" s="62"/>
      <c r="E566" s="62"/>
      <c r="F566" s="62"/>
      <c r="G566" s="62"/>
      <c r="H566" s="62"/>
    </row>
    <row r="567" spans="1:8" x14ac:dyDescent="0.35">
      <c r="A567" s="61"/>
      <c r="B567" s="62"/>
      <c r="C567" s="62"/>
      <c r="D567" s="62"/>
      <c r="E567" s="62"/>
      <c r="F567" s="62"/>
      <c r="G567" s="62"/>
      <c r="H567" s="62"/>
    </row>
    <row r="568" spans="1:8" x14ac:dyDescent="0.35">
      <c r="A568" s="61"/>
      <c r="B568" s="62"/>
      <c r="C568" s="62"/>
      <c r="D568" s="62"/>
      <c r="E568" s="62"/>
      <c r="F568" s="62"/>
      <c r="G568" s="62"/>
      <c r="H568" s="62"/>
    </row>
    <row r="569" spans="1:8" x14ac:dyDescent="0.35">
      <c r="A569" s="61"/>
      <c r="B569" s="62"/>
      <c r="C569" s="62"/>
      <c r="D569" s="62"/>
      <c r="E569" s="62"/>
      <c r="F569" s="62"/>
      <c r="G569" s="62"/>
      <c r="H569" s="62"/>
    </row>
    <row r="570" spans="1:8" x14ac:dyDescent="0.35">
      <c r="A570" s="61"/>
      <c r="B570" s="62"/>
      <c r="C570" s="62"/>
      <c r="D570" s="62"/>
      <c r="E570" s="62"/>
      <c r="F570" s="62"/>
      <c r="G570" s="62"/>
      <c r="H570" s="62"/>
    </row>
    <row r="571" spans="1:8" x14ac:dyDescent="0.35">
      <c r="A571" s="61"/>
      <c r="B571" s="62"/>
      <c r="C571" s="62"/>
      <c r="D571" s="62"/>
      <c r="E571" s="62"/>
      <c r="F571" s="62"/>
      <c r="G571" s="62"/>
      <c r="H571" s="62"/>
    </row>
    <row r="572" spans="1:8" x14ac:dyDescent="0.35">
      <c r="A572" s="61"/>
      <c r="B572" s="62"/>
      <c r="C572" s="62"/>
      <c r="D572" s="62"/>
      <c r="E572" s="62"/>
      <c r="F572" s="62"/>
      <c r="G572" s="62"/>
      <c r="H572" s="62"/>
    </row>
    <row r="573" spans="1:8" x14ac:dyDescent="0.35">
      <c r="A573" s="61"/>
      <c r="B573" s="62"/>
      <c r="C573" s="62"/>
      <c r="D573" s="62"/>
      <c r="E573" s="62"/>
      <c r="F573" s="62"/>
      <c r="G573" s="62"/>
      <c r="H573" s="62"/>
    </row>
    <row r="574" spans="1:8" x14ac:dyDescent="0.35">
      <c r="A574" s="61"/>
      <c r="B574" s="62"/>
      <c r="C574" s="62"/>
      <c r="D574" s="62"/>
      <c r="E574" s="62"/>
      <c r="F574" s="62"/>
      <c r="G574" s="62"/>
      <c r="H574" s="62"/>
    </row>
    <row r="575" spans="1:8" x14ac:dyDescent="0.35">
      <c r="A575" s="61"/>
      <c r="B575" s="62"/>
      <c r="C575" s="62"/>
      <c r="D575" s="62"/>
      <c r="E575" s="62"/>
      <c r="F575" s="62"/>
      <c r="G575" s="62"/>
      <c r="H575" s="62"/>
    </row>
    <row r="576" spans="1:8" x14ac:dyDescent="0.35">
      <c r="A576" s="61"/>
      <c r="B576" s="62"/>
      <c r="C576" s="62"/>
      <c r="D576" s="62"/>
      <c r="E576" s="62"/>
      <c r="F576" s="62"/>
      <c r="G576" s="62"/>
      <c r="H576" s="62"/>
    </row>
    <row r="577" spans="1:8" x14ac:dyDescent="0.35">
      <c r="A577" s="61"/>
      <c r="B577" s="62"/>
      <c r="C577" s="62"/>
      <c r="D577" s="62"/>
      <c r="E577" s="62"/>
      <c r="F577" s="62"/>
      <c r="G577" s="62"/>
      <c r="H577" s="62"/>
    </row>
    <row r="578" spans="1:8" x14ac:dyDescent="0.35">
      <c r="A578" s="61"/>
      <c r="B578" s="62"/>
      <c r="C578" s="62"/>
      <c r="D578" s="62"/>
      <c r="E578" s="62"/>
      <c r="F578" s="62"/>
      <c r="G578" s="62"/>
      <c r="H578" s="62"/>
    </row>
    <row r="579" spans="1:8" x14ac:dyDescent="0.35">
      <c r="A579" s="61"/>
      <c r="B579" s="62"/>
      <c r="C579" s="62"/>
      <c r="D579" s="62"/>
      <c r="E579" s="62"/>
      <c r="F579" s="62"/>
      <c r="G579" s="62"/>
      <c r="H579" s="62"/>
    </row>
    <row r="580" spans="1:8" x14ac:dyDescent="0.35">
      <c r="A580" s="61"/>
      <c r="B580" s="62"/>
      <c r="C580" s="62"/>
      <c r="D580" s="62"/>
      <c r="E580" s="62"/>
      <c r="F580" s="62"/>
      <c r="G580" s="62"/>
      <c r="H580" s="62"/>
    </row>
    <row r="581" spans="1:8" x14ac:dyDescent="0.35">
      <c r="A581" s="61"/>
      <c r="B581" s="62"/>
      <c r="C581" s="62"/>
      <c r="D581" s="62"/>
      <c r="E581" s="62"/>
      <c r="F581" s="62"/>
      <c r="G581" s="62"/>
      <c r="H581" s="62"/>
    </row>
    <row r="582" spans="1:8" x14ac:dyDescent="0.35">
      <c r="A582" s="61"/>
      <c r="B582" s="62"/>
      <c r="C582" s="62"/>
      <c r="D582" s="62"/>
      <c r="E582" s="62"/>
      <c r="F582" s="62"/>
      <c r="G582" s="62"/>
      <c r="H582" s="62"/>
    </row>
    <row r="583" spans="1:8" x14ac:dyDescent="0.35">
      <c r="A583" s="61"/>
      <c r="B583" s="62"/>
      <c r="C583" s="62"/>
      <c r="D583" s="62"/>
      <c r="E583" s="62"/>
      <c r="F583" s="62"/>
      <c r="G583" s="62"/>
      <c r="H583" s="62"/>
    </row>
    <row r="584" spans="1:8" x14ac:dyDescent="0.35">
      <c r="A584" s="61"/>
      <c r="B584" s="62"/>
      <c r="C584" s="62"/>
      <c r="D584" s="62"/>
      <c r="E584" s="62"/>
      <c r="F584" s="62"/>
      <c r="G584" s="62"/>
      <c r="H584" s="62"/>
    </row>
    <row r="585" spans="1:8" x14ac:dyDescent="0.35">
      <c r="A585" s="61"/>
      <c r="B585" s="62"/>
      <c r="C585" s="62"/>
      <c r="D585" s="62"/>
      <c r="E585" s="62"/>
      <c r="F585" s="62"/>
      <c r="G585" s="62"/>
      <c r="H585" s="62"/>
    </row>
    <row r="586" spans="1:8" x14ac:dyDescent="0.35">
      <c r="A586" s="61"/>
      <c r="B586" s="62"/>
      <c r="C586" s="62"/>
      <c r="D586" s="62"/>
      <c r="E586" s="62"/>
      <c r="F586" s="62"/>
      <c r="G586" s="62"/>
      <c r="H586" s="62"/>
    </row>
    <row r="587" spans="1:8" x14ac:dyDescent="0.35">
      <c r="A587" s="61"/>
      <c r="B587" s="62"/>
      <c r="C587" s="62"/>
      <c r="D587" s="62"/>
      <c r="E587" s="62"/>
      <c r="F587" s="62"/>
      <c r="G587" s="62"/>
      <c r="H587" s="62"/>
    </row>
    <row r="588" spans="1:8" x14ac:dyDescent="0.35">
      <c r="A588" s="61"/>
      <c r="B588" s="62"/>
      <c r="C588" s="62"/>
      <c r="D588" s="62"/>
      <c r="E588" s="62"/>
      <c r="F588" s="62"/>
      <c r="G588" s="62"/>
      <c r="H588" s="62"/>
    </row>
    <row r="589" spans="1:8" x14ac:dyDescent="0.35">
      <c r="A589" s="61"/>
      <c r="B589" s="62"/>
      <c r="C589" s="62"/>
      <c r="D589" s="62"/>
      <c r="E589" s="62"/>
      <c r="F589" s="62"/>
      <c r="G589" s="62"/>
      <c r="H589" s="62"/>
    </row>
    <row r="590" spans="1:8" x14ac:dyDescent="0.35">
      <c r="A590" s="61"/>
      <c r="B590" s="62"/>
      <c r="C590" s="62"/>
      <c r="D590" s="62"/>
      <c r="E590" s="62"/>
      <c r="F590" s="62"/>
      <c r="G590" s="62"/>
      <c r="H590" s="62"/>
    </row>
    <row r="591" spans="1:8" x14ac:dyDescent="0.35">
      <c r="A591" s="61"/>
      <c r="B591" s="62"/>
      <c r="C591" s="62"/>
      <c r="D591" s="62"/>
      <c r="E591" s="62"/>
      <c r="F591" s="62"/>
      <c r="G591" s="62"/>
      <c r="H591" s="62"/>
    </row>
    <row r="592" spans="1:8" x14ac:dyDescent="0.35">
      <c r="A592" s="61"/>
      <c r="B592" s="62"/>
      <c r="C592" s="62"/>
      <c r="D592" s="62"/>
      <c r="E592" s="62"/>
      <c r="F592" s="62"/>
      <c r="G592" s="62"/>
      <c r="H592" s="62"/>
    </row>
    <row r="593" spans="1:8" x14ac:dyDescent="0.35">
      <c r="A593" s="61"/>
      <c r="B593" s="62"/>
      <c r="C593" s="62"/>
      <c r="D593" s="62"/>
      <c r="E593" s="62"/>
      <c r="F593" s="62"/>
      <c r="G593" s="62"/>
      <c r="H593" s="62"/>
    </row>
    <row r="594" spans="1:8" x14ac:dyDescent="0.35">
      <c r="A594" s="61"/>
      <c r="B594" s="62"/>
      <c r="C594" s="62"/>
      <c r="D594" s="62"/>
      <c r="E594" s="62"/>
      <c r="F594" s="62"/>
      <c r="G594" s="62"/>
      <c r="H594" s="62"/>
    </row>
    <row r="595" spans="1:8" x14ac:dyDescent="0.35">
      <c r="A595" s="61"/>
      <c r="B595" s="62"/>
      <c r="C595" s="62"/>
      <c r="D595" s="62"/>
      <c r="E595" s="62"/>
      <c r="F595" s="62"/>
      <c r="G595" s="62"/>
      <c r="H595" s="62"/>
    </row>
    <row r="596" spans="1:8" x14ac:dyDescent="0.35">
      <c r="A596" s="61"/>
      <c r="B596" s="62"/>
      <c r="C596" s="62"/>
      <c r="D596" s="62"/>
      <c r="E596" s="62"/>
      <c r="F596" s="62"/>
      <c r="G596" s="62"/>
      <c r="H596" s="62"/>
    </row>
    <row r="597" spans="1:8" x14ac:dyDescent="0.35">
      <c r="A597" s="61"/>
      <c r="B597" s="62"/>
      <c r="C597" s="62"/>
      <c r="D597" s="62"/>
      <c r="E597" s="62"/>
      <c r="F597" s="62"/>
      <c r="G597" s="62"/>
      <c r="H597" s="62"/>
    </row>
    <row r="598" spans="1:8" x14ac:dyDescent="0.35">
      <c r="A598" s="61"/>
      <c r="B598" s="62"/>
      <c r="C598" s="62"/>
      <c r="D598" s="62"/>
      <c r="E598" s="62"/>
      <c r="F598" s="62"/>
      <c r="G598" s="62"/>
      <c r="H598" s="62"/>
    </row>
    <row r="599" spans="1:8" x14ac:dyDescent="0.35">
      <c r="A599" s="61"/>
      <c r="B599" s="62"/>
      <c r="C599" s="62"/>
      <c r="D599" s="62"/>
      <c r="E599" s="62"/>
      <c r="F599" s="62"/>
      <c r="G599" s="62"/>
      <c r="H599" s="62"/>
    </row>
    <row r="600" spans="1:8" x14ac:dyDescent="0.35">
      <c r="A600" s="61"/>
      <c r="B600" s="62"/>
      <c r="C600" s="62"/>
      <c r="D600" s="62"/>
      <c r="E600" s="62"/>
      <c r="F600" s="62"/>
      <c r="G600" s="62"/>
      <c r="H600" s="62"/>
    </row>
    <row r="601" spans="1:8" x14ac:dyDescent="0.35">
      <c r="A601" s="61"/>
      <c r="B601" s="62"/>
      <c r="C601" s="62"/>
      <c r="D601" s="62"/>
      <c r="E601" s="62"/>
      <c r="F601" s="62"/>
      <c r="G601" s="62"/>
      <c r="H601" s="62"/>
    </row>
    <row r="602" spans="1:8" x14ac:dyDescent="0.35">
      <c r="A602" s="61"/>
      <c r="B602" s="62"/>
      <c r="C602" s="62"/>
      <c r="D602" s="62"/>
      <c r="E602" s="62"/>
      <c r="F602" s="62"/>
      <c r="G602" s="62"/>
      <c r="H602" s="62"/>
    </row>
    <row r="603" spans="1:8" x14ac:dyDescent="0.35">
      <c r="A603" s="61"/>
      <c r="B603" s="62"/>
      <c r="C603" s="62"/>
      <c r="D603" s="62"/>
      <c r="E603" s="62"/>
      <c r="F603" s="62"/>
      <c r="G603" s="62"/>
      <c r="H603" s="62"/>
    </row>
    <row r="604" spans="1:8" x14ac:dyDescent="0.35">
      <c r="A604" s="61"/>
      <c r="B604" s="62"/>
      <c r="C604" s="62"/>
      <c r="D604" s="62"/>
      <c r="E604" s="62"/>
      <c r="F604" s="62"/>
      <c r="G604" s="62"/>
      <c r="H604" s="62"/>
    </row>
    <row r="605" spans="1:8" x14ac:dyDescent="0.35">
      <c r="A605" s="61"/>
      <c r="B605" s="62"/>
      <c r="C605" s="62"/>
      <c r="D605" s="62"/>
      <c r="E605" s="62"/>
      <c r="F605" s="62"/>
      <c r="G605" s="62"/>
      <c r="H605" s="62"/>
    </row>
    <row r="606" spans="1:8" x14ac:dyDescent="0.35">
      <c r="A606" s="61"/>
      <c r="B606" s="62"/>
      <c r="C606" s="62"/>
      <c r="D606" s="62"/>
      <c r="E606" s="62"/>
      <c r="F606" s="62"/>
      <c r="G606" s="62"/>
      <c r="H606" s="62"/>
    </row>
    <row r="607" spans="1:8" x14ac:dyDescent="0.35">
      <c r="A607" s="61"/>
      <c r="B607" s="62"/>
      <c r="C607" s="62"/>
      <c r="D607" s="62"/>
      <c r="E607" s="62"/>
      <c r="F607" s="62"/>
      <c r="G607" s="62"/>
      <c r="H607" s="62"/>
    </row>
    <row r="608" spans="1:8" x14ac:dyDescent="0.35">
      <c r="A608" s="61"/>
      <c r="B608" s="62"/>
      <c r="C608" s="62"/>
      <c r="D608" s="62"/>
      <c r="E608" s="62"/>
      <c r="F608" s="62"/>
      <c r="G608" s="62"/>
      <c r="H608" s="62"/>
    </row>
    <row r="609" spans="1:8" x14ac:dyDescent="0.35">
      <c r="A609" s="61"/>
      <c r="B609" s="62"/>
      <c r="C609" s="62"/>
      <c r="D609" s="62"/>
      <c r="E609" s="62"/>
      <c r="F609" s="62"/>
      <c r="G609" s="62"/>
      <c r="H609" s="62"/>
    </row>
    <row r="610" spans="1:8" x14ac:dyDescent="0.35">
      <c r="A610" s="61"/>
      <c r="B610" s="62"/>
      <c r="C610" s="62"/>
      <c r="D610" s="62"/>
      <c r="E610" s="62"/>
      <c r="F610" s="62"/>
      <c r="G610" s="62"/>
      <c r="H610" s="62"/>
    </row>
    <row r="611" spans="1:8" x14ac:dyDescent="0.35">
      <c r="A611" s="61"/>
      <c r="B611" s="62"/>
      <c r="C611" s="62"/>
      <c r="D611" s="62"/>
      <c r="E611" s="62"/>
      <c r="F611" s="62"/>
      <c r="G611" s="62"/>
      <c r="H611" s="62"/>
    </row>
    <row r="612" spans="1:8" x14ac:dyDescent="0.35">
      <c r="A612" s="61"/>
      <c r="B612" s="62"/>
      <c r="C612" s="62"/>
      <c r="D612" s="62"/>
      <c r="E612" s="62"/>
      <c r="F612" s="62"/>
      <c r="G612" s="62"/>
      <c r="H612" s="62"/>
    </row>
    <row r="613" spans="1:8" x14ac:dyDescent="0.35">
      <c r="A613" s="61"/>
      <c r="B613" s="62"/>
      <c r="C613" s="62"/>
      <c r="D613" s="62"/>
      <c r="E613" s="62"/>
      <c r="F613" s="62"/>
      <c r="G613" s="62"/>
      <c r="H613" s="62"/>
    </row>
    <row r="614" spans="1:8" x14ac:dyDescent="0.35">
      <c r="A614" s="61"/>
      <c r="B614" s="62"/>
      <c r="C614" s="62"/>
      <c r="D614" s="62"/>
      <c r="E614" s="62"/>
      <c r="F614" s="62"/>
      <c r="G614" s="62"/>
      <c r="H614" s="62"/>
    </row>
    <row r="615" spans="1:8" x14ac:dyDescent="0.35">
      <c r="A615" s="61"/>
      <c r="B615" s="62"/>
      <c r="C615" s="62"/>
      <c r="D615" s="62"/>
      <c r="E615" s="62"/>
      <c r="F615" s="62"/>
      <c r="G615" s="62"/>
      <c r="H615" s="62"/>
    </row>
    <row r="616" spans="1:8" x14ac:dyDescent="0.35">
      <c r="A616" s="61"/>
      <c r="B616" s="62"/>
      <c r="C616" s="62"/>
      <c r="D616" s="62"/>
      <c r="E616" s="62"/>
      <c r="F616" s="62"/>
      <c r="G616" s="62"/>
      <c r="H616" s="62"/>
    </row>
    <row r="617" spans="1:8" x14ac:dyDescent="0.35">
      <c r="A617" s="61"/>
      <c r="B617" s="62"/>
      <c r="C617" s="62"/>
      <c r="D617" s="62"/>
      <c r="E617" s="62"/>
      <c r="F617" s="62"/>
      <c r="G617" s="62"/>
      <c r="H617" s="62"/>
    </row>
    <row r="618" spans="1:8" x14ac:dyDescent="0.35">
      <c r="A618" s="61"/>
      <c r="B618" s="62"/>
      <c r="C618" s="62"/>
      <c r="D618" s="62"/>
      <c r="E618" s="62"/>
      <c r="F618" s="62"/>
      <c r="G618" s="62"/>
      <c r="H618" s="62"/>
    </row>
    <row r="619" spans="1:8" x14ac:dyDescent="0.35">
      <c r="A619" s="61"/>
      <c r="B619" s="62"/>
      <c r="C619" s="62"/>
      <c r="D619" s="62"/>
      <c r="E619" s="62"/>
      <c r="F619" s="62"/>
      <c r="G619" s="62"/>
      <c r="H619" s="62"/>
    </row>
    <row r="620" spans="1:8" x14ac:dyDescent="0.35">
      <c r="A620" s="61"/>
      <c r="B620" s="62"/>
      <c r="C620" s="62"/>
      <c r="D620" s="62"/>
      <c r="E620" s="62"/>
      <c r="F620" s="62"/>
      <c r="G620" s="62"/>
      <c r="H620" s="62"/>
    </row>
    <row r="621" spans="1:8" x14ac:dyDescent="0.35">
      <c r="A621" s="61"/>
      <c r="B621" s="62"/>
      <c r="C621" s="62"/>
      <c r="D621" s="62"/>
      <c r="E621" s="62"/>
      <c r="F621" s="62"/>
      <c r="G621" s="62"/>
      <c r="H621" s="62"/>
    </row>
    <row r="622" spans="1:8" x14ac:dyDescent="0.35">
      <c r="A622" s="61"/>
      <c r="B622" s="62"/>
      <c r="C622" s="62"/>
      <c r="D622" s="62"/>
      <c r="E622" s="62"/>
      <c r="F622" s="62"/>
      <c r="G622" s="62"/>
      <c r="H622" s="62"/>
    </row>
    <row r="623" spans="1:8" x14ac:dyDescent="0.35">
      <c r="A623" s="61"/>
      <c r="B623" s="62"/>
      <c r="C623" s="62"/>
      <c r="D623" s="62"/>
      <c r="E623" s="62"/>
      <c r="F623" s="62"/>
      <c r="G623" s="62"/>
      <c r="H623" s="62"/>
    </row>
    <row r="624" spans="1:8" x14ac:dyDescent="0.35">
      <c r="A624" s="61"/>
      <c r="B624" s="62"/>
      <c r="C624" s="62"/>
      <c r="D624" s="62"/>
      <c r="E624" s="62"/>
      <c r="F624" s="62"/>
      <c r="G624" s="62"/>
      <c r="H624" s="62"/>
    </row>
    <row r="625" spans="1:8" x14ac:dyDescent="0.35">
      <c r="A625" s="61"/>
      <c r="B625" s="62"/>
      <c r="C625" s="62"/>
      <c r="D625" s="62"/>
      <c r="E625" s="62"/>
      <c r="F625" s="62"/>
      <c r="G625" s="62"/>
      <c r="H625" s="62"/>
    </row>
    <row r="626" spans="1:8" x14ac:dyDescent="0.35">
      <c r="A626" s="61"/>
      <c r="B626" s="62"/>
      <c r="C626" s="62"/>
      <c r="D626" s="62"/>
      <c r="E626" s="62"/>
      <c r="F626" s="62"/>
      <c r="G626" s="62"/>
      <c r="H626" s="62"/>
    </row>
    <row r="627" spans="1:8" x14ac:dyDescent="0.35">
      <c r="A627" s="61"/>
      <c r="B627" s="62"/>
      <c r="C627" s="62"/>
      <c r="D627" s="62"/>
      <c r="E627" s="62"/>
      <c r="F627" s="62"/>
      <c r="G627" s="62"/>
      <c r="H627" s="62"/>
    </row>
    <row r="628" spans="1:8" x14ac:dyDescent="0.35">
      <c r="A628" s="61"/>
      <c r="B628" s="62"/>
      <c r="C628" s="62"/>
      <c r="D628" s="62"/>
      <c r="E628" s="62"/>
      <c r="F628" s="62"/>
      <c r="G628" s="62"/>
      <c r="H628" s="62"/>
    </row>
    <row r="629" spans="1:8" x14ac:dyDescent="0.35">
      <c r="A629" s="61"/>
      <c r="B629" s="62"/>
      <c r="C629" s="62"/>
      <c r="D629" s="62"/>
      <c r="E629" s="62"/>
      <c r="F629" s="62"/>
      <c r="G629" s="62"/>
      <c r="H629" s="62"/>
    </row>
    <row r="630" spans="1:8" x14ac:dyDescent="0.35">
      <c r="A630" s="61"/>
      <c r="B630" s="62"/>
      <c r="C630" s="62"/>
      <c r="D630" s="62"/>
      <c r="E630" s="62"/>
      <c r="F630" s="62"/>
      <c r="G630" s="62"/>
      <c r="H630" s="62"/>
    </row>
    <row r="631" spans="1:8" x14ac:dyDescent="0.35">
      <c r="A631" s="61"/>
      <c r="B631" s="62"/>
      <c r="C631" s="62"/>
      <c r="D631" s="62"/>
      <c r="E631" s="62"/>
      <c r="F631" s="62"/>
      <c r="G631" s="62"/>
      <c r="H631" s="62"/>
    </row>
    <row r="632" spans="1:8" x14ac:dyDescent="0.35">
      <c r="A632" s="61"/>
      <c r="B632" s="62"/>
      <c r="C632" s="62"/>
      <c r="D632" s="62"/>
      <c r="E632" s="62"/>
      <c r="F632" s="62"/>
      <c r="G632" s="62"/>
      <c r="H632" s="62"/>
    </row>
    <row r="633" spans="1:8" x14ac:dyDescent="0.35">
      <c r="A633" s="61"/>
      <c r="B633" s="62"/>
      <c r="C633" s="62"/>
      <c r="D633" s="62"/>
      <c r="E633" s="62"/>
      <c r="F633" s="62"/>
      <c r="G633" s="62"/>
      <c r="H633" s="62"/>
    </row>
    <row r="634" spans="1:8" x14ac:dyDescent="0.35">
      <c r="A634" s="61"/>
      <c r="B634" s="62"/>
      <c r="C634" s="62"/>
      <c r="D634" s="62"/>
      <c r="E634" s="62"/>
      <c r="F634" s="62"/>
      <c r="G634" s="62"/>
      <c r="H634" s="62"/>
    </row>
    <row r="635" spans="1:8" x14ac:dyDescent="0.35">
      <c r="A635" s="61"/>
      <c r="B635" s="62"/>
      <c r="C635" s="62"/>
      <c r="D635" s="62"/>
      <c r="E635" s="62"/>
      <c r="F635" s="62"/>
      <c r="G635" s="62"/>
      <c r="H635" s="62"/>
    </row>
    <row r="636" spans="1:8" x14ac:dyDescent="0.35">
      <c r="A636" s="61"/>
      <c r="B636" s="62"/>
      <c r="C636" s="62"/>
      <c r="D636" s="62"/>
      <c r="E636" s="62"/>
      <c r="F636" s="62"/>
      <c r="G636" s="62"/>
      <c r="H636" s="62"/>
    </row>
    <row r="637" spans="1:8" x14ac:dyDescent="0.35">
      <c r="A637" s="61"/>
      <c r="B637" s="62"/>
      <c r="C637" s="62"/>
      <c r="D637" s="62"/>
      <c r="E637" s="62"/>
      <c r="F637" s="62"/>
      <c r="G637" s="62"/>
      <c r="H637" s="62"/>
    </row>
    <row r="638" spans="1:8" x14ac:dyDescent="0.35">
      <c r="A638" s="61"/>
      <c r="B638" s="62"/>
      <c r="C638" s="62"/>
      <c r="D638" s="62"/>
      <c r="E638" s="62"/>
      <c r="F638" s="62"/>
      <c r="G638" s="62"/>
      <c r="H638" s="62"/>
    </row>
    <row r="639" spans="1:8" x14ac:dyDescent="0.35">
      <c r="A639" s="61"/>
      <c r="B639" s="62"/>
      <c r="C639" s="62"/>
      <c r="D639" s="62"/>
      <c r="E639" s="62"/>
      <c r="F639" s="62"/>
      <c r="G639" s="62"/>
      <c r="H639" s="62"/>
    </row>
    <row r="640" spans="1:8" x14ac:dyDescent="0.35">
      <c r="A640" s="61"/>
      <c r="B640" s="62"/>
      <c r="C640" s="62"/>
      <c r="D640" s="62"/>
      <c r="E640" s="62"/>
      <c r="F640" s="62"/>
      <c r="G640" s="62"/>
      <c r="H640" s="62"/>
    </row>
    <row r="641" spans="1:8" x14ac:dyDescent="0.35">
      <c r="A641" s="61"/>
      <c r="B641" s="62"/>
      <c r="C641" s="62"/>
      <c r="D641" s="62"/>
      <c r="E641" s="62"/>
      <c r="F641" s="62"/>
      <c r="G641" s="62"/>
      <c r="H641" s="62"/>
    </row>
    <row r="642" spans="1:8" x14ac:dyDescent="0.35">
      <c r="A642" s="61"/>
      <c r="B642" s="62"/>
      <c r="C642" s="62"/>
      <c r="D642" s="62"/>
      <c r="E642" s="62"/>
      <c r="F642" s="62"/>
      <c r="G642" s="62"/>
      <c r="H642" s="62"/>
    </row>
    <row r="643" spans="1:8" x14ac:dyDescent="0.35">
      <c r="A643" s="61"/>
      <c r="B643" s="62"/>
      <c r="C643" s="62"/>
      <c r="D643" s="62"/>
      <c r="E643" s="62"/>
      <c r="F643" s="62"/>
      <c r="G643" s="62"/>
      <c r="H643" s="62"/>
    </row>
    <row r="644" spans="1:8" x14ac:dyDescent="0.35">
      <c r="A644" s="61"/>
      <c r="B644" s="62"/>
      <c r="C644" s="62"/>
      <c r="D644" s="62"/>
      <c r="E644" s="62"/>
      <c r="F644" s="62"/>
      <c r="G644" s="62"/>
      <c r="H644" s="62"/>
    </row>
    <row r="645" spans="1:8" x14ac:dyDescent="0.35">
      <c r="A645" s="61"/>
      <c r="B645" s="62"/>
      <c r="C645" s="62"/>
      <c r="D645" s="62"/>
      <c r="E645" s="62"/>
      <c r="F645" s="62"/>
      <c r="G645" s="62"/>
      <c r="H645" s="62"/>
    </row>
    <row r="646" spans="1:8" x14ac:dyDescent="0.35">
      <c r="A646" s="61"/>
      <c r="B646" s="62"/>
      <c r="C646" s="62"/>
      <c r="D646" s="62"/>
      <c r="E646" s="62"/>
      <c r="F646" s="62"/>
      <c r="G646" s="62"/>
      <c r="H646" s="62"/>
    </row>
    <row r="647" spans="1:8" x14ac:dyDescent="0.35">
      <c r="A647" s="61"/>
      <c r="B647" s="62"/>
      <c r="C647" s="62"/>
      <c r="D647" s="62"/>
      <c r="E647" s="62"/>
      <c r="F647" s="62"/>
      <c r="G647" s="62"/>
      <c r="H647" s="62"/>
    </row>
    <row r="648" spans="1:8" x14ac:dyDescent="0.35">
      <c r="A648" s="61"/>
      <c r="B648" s="62"/>
      <c r="C648" s="62"/>
      <c r="D648" s="62"/>
      <c r="E648" s="62"/>
      <c r="F648" s="62"/>
      <c r="G648" s="62"/>
      <c r="H648" s="62"/>
    </row>
    <row r="649" spans="1:8" x14ac:dyDescent="0.35">
      <c r="A649" s="61"/>
      <c r="B649" s="62"/>
      <c r="C649" s="62"/>
      <c r="D649" s="62"/>
      <c r="E649" s="62"/>
      <c r="F649" s="62"/>
      <c r="G649" s="62"/>
      <c r="H649" s="62"/>
    </row>
    <row r="650" spans="1:8" x14ac:dyDescent="0.35">
      <c r="A650" s="61"/>
      <c r="B650" s="62"/>
      <c r="C650" s="62"/>
      <c r="D650" s="62"/>
      <c r="E650" s="62"/>
      <c r="F650" s="62"/>
      <c r="G650" s="62"/>
      <c r="H650" s="62"/>
    </row>
    <row r="651" spans="1:8" x14ac:dyDescent="0.35">
      <c r="A651" s="61"/>
      <c r="B651" s="62"/>
      <c r="C651" s="62"/>
      <c r="D651" s="62"/>
      <c r="E651" s="62"/>
      <c r="F651" s="62"/>
      <c r="G651" s="62"/>
      <c r="H651" s="62"/>
    </row>
    <row r="652" spans="1:8" x14ac:dyDescent="0.35">
      <c r="A652" s="61"/>
      <c r="B652" s="62"/>
      <c r="C652" s="62"/>
      <c r="D652" s="62"/>
      <c r="E652" s="62"/>
      <c r="F652" s="62"/>
      <c r="G652" s="62"/>
      <c r="H652" s="62"/>
    </row>
    <row r="653" spans="1:8" x14ac:dyDescent="0.35">
      <c r="A653" s="61"/>
      <c r="B653" s="62"/>
      <c r="C653" s="62"/>
      <c r="D653" s="62"/>
      <c r="E653" s="62"/>
      <c r="F653" s="62"/>
      <c r="G653" s="62"/>
      <c r="H653" s="62"/>
    </row>
    <row r="654" spans="1:8" x14ac:dyDescent="0.35">
      <c r="A654" s="61"/>
      <c r="B654" s="62"/>
      <c r="C654" s="62"/>
      <c r="D654" s="62"/>
      <c r="E654" s="62"/>
      <c r="F654" s="62"/>
      <c r="G654" s="62"/>
      <c r="H654" s="62"/>
    </row>
    <row r="655" spans="1:8" x14ac:dyDescent="0.35">
      <c r="A655" s="61"/>
      <c r="B655" s="62"/>
      <c r="C655" s="62"/>
      <c r="D655" s="62"/>
      <c r="E655" s="62"/>
      <c r="F655" s="62"/>
      <c r="G655" s="62"/>
      <c r="H655" s="62"/>
    </row>
    <row r="656" spans="1:8" x14ac:dyDescent="0.35">
      <c r="A656" s="61"/>
      <c r="B656" s="62"/>
      <c r="C656" s="62"/>
      <c r="D656" s="62"/>
      <c r="E656" s="62"/>
      <c r="F656" s="62"/>
      <c r="G656" s="62"/>
      <c r="H656" s="62"/>
    </row>
    <row r="657" spans="1:8" x14ac:dyDescent="0.35">
      <c r="A657" s="61"/>
      <c r="B657" s="62"/>
      <c r="C657" s="62"/>
      <c r="D657" s="62"/>
      <c r="E657" s="62"/>
      <c r="F657" s="62"/>
      <c r="G657" s="62"/>
      <c r="H657" s="62"/>
    </row>
    <row r="658" spans="1:8" x14ac:dyDescent="0.35">
      <c r="A658" s="61"/>
      <c r="B658" s="62"/>
      <c r="C658" s="62"/>
      <c r="D658" s="62"/>
      <c r="E658" s="62"/>
      <c r="F658" s="62"/>
      <c r="G658" s="62"/>
      <c r="H658" s="62"/>
    </row>
    <row r="659" spans="1:8" x14ac:dyDescent="0.35">
      <c r="A659" s="61"/>
      <c r="B659" s="62"/>
      <c r="C659" s="62"/>
      <c r="D659" s="62"/>
      <c r="E659" s="62"/>
      <c r="F659" s="62"/>
      <c r="G659" s="62"/>
      <c r="H659" s="62"/>
    </row>
    <row r="660" spans="1:8" x14ac:dyDescent="0.35">
      <c r="A660" s="61"/>
      <c r="B660" s="62"/>
      <c r="C660" s="62"/>
      <c r="D660" s="62"/>
      <c r="E660" s="62"/>
      <c r="F660" s="62"/>
      <c r="G660" s="62"/>
      <c r="H660" s="62"/>
    </row>
    <row r="661" spans="1:8" x14ac:dyDescent="0.35">
      <c r="A661" s="61"/>
      <c r="B661" s="62"/>
      <c r="C661" s="62"/>
      <c r="D661" s="62"/>
      <c r="E661" s="62"/>
      <c r="F661" s="62"/>
      <c r="G661" s="62"/>
      <c r="H661" s="62"/>
    </row>
    <row r="662" spans="1:8" x14ac:dyDescent="0.35">
      <c r="A662" s="61"/>
      <c r="B662" s="62"/>
      <c r="C662" s="62"/>
      <c r="D662" s="62"/>
      <c r="E662" s="62"/>
      <c r="F662" s="62"/>
      <c r="G662" s="62"/>
      <c r="H662" s="62"/>
    </row>
    <row r="663" spans="1:8" x14ac:dyDescent="0.35">
      <c r="A663" s="61"/>
      <c r="B663" s="62"/>
      <c r="C663" s="62"/>
      <c r="D663" s="62"/>
      <c r="E663" s="62"/>
      <c r="F663" s="62"/>
      <c r="G663" s="62"/>
      <c r="H663" s="62"/>
    </row>
    <row r="664" spans="1:8" x14ac:dyDescent="0.35">
      <c r="A664" s="61"/>
      <c r="B664" s="62"/>
      <c r="C664" s="62"/>
      <c r="D664" s="62"/>
      <c r="E664" s="62"/>
      <c r="F664" s="62"/>
      <c r="G664" s="62"/>
      <c r="H664" s="62"/>
    </row>
    <row r="665" spans="1:8" x14ac:dyDescent="0.35">
      <c r="A665" s="61"/>
      <c r="B665" s="62"/>
      <c r="C665" s="62"/>
      <c r="D665" s="62"/>
      <c r="E665" s="62"/>
      <c r="F665" s="62"/>
      <c r="G665" s="62"/>
      <c r="H665" s="62"/>
    </row>
    <row r="666" spans="1:8" x14ac:dyDescent="0.35">
      <c r="A666" s="61"/>
      <c r="B666" s="62"/>
      <c r="C666" s="62"/>
      <c r="D666" s="62"/>
      <c r="E666" s="62"/>
      <c r="F666" s="62"/>
      <c r="G666" s="62"/>
      <c r="H666" s="62"/>
    </row>
    <row r="667" spans="1:8" x14ac:dyDescent="0.35">
      <c r="A667" s="61"/>
      <c r="B667" s="62"/>
      <c r="C667" s="62"/>
      <c r="D667" s="62"/>
      <c r="E667" s="62"/>
      <c r="F667" s="62"/>
      <c r="G667" s="62"/>
      <c r="H667" s="62"/>
    </row>
    <row r="668" spans="1:8" x14ac:dyDescent="0.35">
      <c r="A668" s="61"/>
      <c r="B668" s="62"/>
      <c r="C668" s="62"/>
      <c r="D668" s="62"/>
      <c r="E668" s="62"/>
      <c r="F668" s="62"/>
      <c r="G668" s="62"/>
      <c r="H668" s="62"/>
    </row>
    <row r="669" spans="1:8" x14ac:dyDescent="0.35">
      <c r="A669" s="61"/>
      <c r="B669" s="62"/>
      <c r="C669" s="62"/>
      <c r="D669" s="62"/>
      <c r="E669" s="62"/>
      <c r="F669" s="62"/>
      <c r="G669" s="62"/>
      <c r="H669" s="62"/>
    </row>
    <row r="670" spans="1:8" x14ac:dyDescent="0.35">
      <c r="A670" s="61"/>
      <c r="B670" s="62"/>
      <c r="C670" s="62"/>
      <c r="D670" s="62"/>
      <c r="E670" s="62"/>
      <c r="F670" s="62"/>
      <c r="G670" s="62"/>
      <c r="H670" s="62"/>
    </row>
    <row r="671" spans="1:8" x14ac:dyDescent="0.35">
      <c r="A671" s="61"/>
      <c r="B671" s="62"/>
      <c r="C671" s="62"/>
      <c r="D671" s="62"/>
      <c r="E671" s="62"/>
      <c r="F671" s="62"/>
      <c r="G671" s="62"/>
      <c r="H671" s="62"/>
    </row>
    <row r="672" spans="1:8" x14ac:dyDescent="0.35">
      <c r="A672" s="61"/>
      <c r="B672" s="62"/>
      <c r="C672" s="62"/>
      <c r="D672" s="62"/>
      <c r="E672" s="62"/>
      <c r="F672" s="62"/>
      <c r="G672" s="62"/>
      <c r="H672" s="62"/>
    </row>
    <row r="673" spans="1:8" x14ac:dyDescent="0.35">
      <c r="A673" s="61"/>
      <c r="B673" s="62"/>
      <c r="C673" s="62"/>
      <c r="D673" s="62"/>
      <c r="E673" s="62"/>
      <c r="F673" s="62"/>
      <c r="G673" s="62"/>
      <c r="H673" s="62"/>
    </row>
    <row r="674" spans="1:8" x14ac:dyDescent="0.35">
      <c r="A674" s="61"/>
      <c r="B674" s="62"/>
      <c r="C674" s="62"/>
      <c r="D674" s="62"/>
      <c r="E674" s="62"/>
      <c r="F674" s="62"/>
      <c r="G674" s="62"/>
      <c r="H674" s="62"/>
    </row>
    <row r="675" spans="1:8" x14ac:dyDescent="0.35">
      <c r="A675" s="61"/>
      <c r="B675" s="62"/>
      <c r="C675" s="62"/>
      <c r="D675" s="62"/>
      <c r="E675" s="62"/>
      <c r="F675" s="62"/>
      <c r="G675" s="62"/>
      <c r="H675" s="62"/>
    </row>
    <row r="676" spans="1:8" x14ac:dyDescent="0.35">
      <c r="A676" s="61"/>
      <c r="B676" s="62"/>
      <c r="C676" s="62"/>
      <c r="D676" s="62"/>
      <c r="E676" s="62"/>
      <c r="F676" s="62"/>
      <c r="G676" s="62"/>
      <c r="H676" s="62"/>
    </row>
    <row r="677" spans="1:8" x14ac:dyDescent="0.35">
      <c r="A677" s="61"/>
      <c r="B677" s="62"/>
      <c r="C677" s="62"/>
      <c r="D677" s="62"/>
      <c r="E677" s="62"/>
      <c r="F677" s="62"/>
      <c r="G677" s="62"/>
      <c r="H677" s="62"/>
    </row>
    <row r="678" spans="1:8" x14ac:dyDescent="0.35">
      <c r="A678" s="61"/>
      <c r="B678" s="62"/>
      <c r="C678" s="62"/>
      <c r="D678" s="62"/>
      <c r="E678" s="62"/>
      <c r="F678" s="62"/>
      <c r="G678" s="62"/>
      <c r="H678" s="62"/>
    </row>
    <row r="679" spans="1:8" x14ac:dyDescent="0.35">
      <c r="A679" s="61"/>
      <c r="B679" s="62"/>
      <c r="C679" s="62"/>
      <c r="D679" s="62"/>
      <c r="E679" s="62"/>
      <c r="F679" s="62"/>
      <c r="G679" s="62"/>
      <c r="H679" s="62"/>
    </row>
    <row r="680" spans="1:8" x14ac:dyDescent="0.35">
      <c r="A680" s="61"/>
      <c r="B680" s="62"/>
      <c r="C680" s="62"/>
      <c r="D680" s="62"/>
      <c r="E680" s="62"/>
      <c r="F680" s="62"/>
      <c r="G680" s="62"/>
      <c r="H680" s="62"/>
    </row>
    <row r="681" spans="1:8" x14ac:dyDescent="0.35">
      <c r="A681" s="61"/>
      <c r="B681" s="62"/>
      <c r="C681" s="62"/>
      <c r="D681" s="62"/>
      <c r="E681" s="62"/>
      <c r="F681" s="62"/>
      <c r="G681" s="62"/>
      <c r="H681" s="62"/>
    </row>
    <row r="682" spans="1:8" x14ac:dyDescent="0.35">
      <c r="A682" s="61"/>
      <c r="B682" s="62"/>
      <c r="C682" s="62"/>
      <c r="D682" s="62"/>
      <c r="E682" s="62"/>
      <c r="F682" s="62"/>
      <c r="G682" s="62"/>
      <c r="H682" s="62"/>
    </row>
    <row r="683" spans="1:8" x14ac:dyDescent="0.35">
      <c r="A683" s="61"/>
      <c r="B683" s="62"/>
      <c r="C683" s="62"/>
      <c r="D683" s="62"/>
      <c r="E683" s="62"/>
      <c r="F683" s="62"/>
      <c r="G683" s="62"/>
      <c r="H683" s="62"/>
    </row>
    <row r="684" spans="1:8" x14ac:dyDescent="0.35">
      <c r="A684" s="61"/>
      <c r="B684" s="62"/>
      <c r="C684" s="62"/>
      <c r="D684" s="62"/>
      <c r="E684" s="62"/>
      <c r="F684" s="62"/>
      <c r="G684" s="62"/>
      <c r="H684" s="62"/>
    </row>
    <row r="685" spans="1:8" x14ac:dyDescent="0.35">
      <c r="A685" s="61"/>
      <c r="B685" s="62"/>
      <c r="C685" s="62"/>
      <c r="D685" s="62"/>
      <c r="E685" s="62"/>
      <c r="F685" s="62"/>
      <c r="G685" s="62"/>
      <c r="H685" s="62"/>
    </row>
    <row r="686" spans="1:8" x14ac:dyDescent="0.35">
      <c r="A686" s="61"/>
      <c r="B686" s="62"/>
      <c r="C686" s="62"/>
      <c r="D686" s="62"/>
      <c r="E686" s="62"/>
      <c r="F686" s="62"/>
      <c r="G686" s="62"/>
      <c r="H686" s="62"/>
    </row>
    <row r="687" spans="1:8" x14ac:dyDescent="0.35">
      <c r="A687" s="61"/>
      <c r="B687" s="62"/>
      <c r="C687" s="62"/>
      <c r="D687" s="62"/>
      <c r="E687" s="62"/>
      <c r="F687" s="62"/>
      <c r="G687" s="62"/>
      <c r="H687" s="62"/>
    </row>
    <row r="688" spans="1:8" x14ac:dyDescent="0.35">
      <c r="A688" s="61"/>
      <c r="B688" s="62"/>
      <c r="C688" s="62"/>
      <c r="D688" s="62"/>
      <c r="E688" s="62"/>
      <c r="F688" s="62"/>
      <c r="G688" s="62"/>
      <c r="H688" s="62"/>
    </row>
    <row r="689" spans="1:8" x14ac:dyDescent="0.35">
      <c r="A689" s="61"/>
      <c r="B689" s="62"/>
      <c r="C689" s="62"/>
      <c r="D689" s="62"/>
      <c r="E689" s="62"/>
      <c r="F689" s="62"/>
      <c r="G689" s="62"/>
      <c r="H689" s="62"/>
    </row>
    <row r="690" spans="1:8" x14ac:dyDescent="0.35">
      <c r="A690" s="61"/>
      <c r="B690" s="62"/>
      <c r="C690" s="62"/>
      <c r="D690" s="62"/>
      <c r="E690" s="62"/>
      <c r="F690" s="62"/>
      <c r="G690" s="62"/>
      <c r="H690" s="62"/>
    </row>
    <row r="691" spans="1:8" x14ac:dyDescent="0.35">
      <c r="A691" s="61"/>
      <c r="B691" s="62"/>
      <c r="C691" s="62"/>
      <c r="D691" s="62"/>
      <c r="E691" s="62"/>
      <c r="F691" s="62"/>
      <c r="G691" s="62"/>
      <c r="H691" s="62"/>
    </row>
    <row r="692" spans="1:8" x14ac:dyDescent="0.35">
      <c r="A692" s="61"/>
      <c r="B692" s="62"/>
      <c r="C692" s="62"/>
      <c r="D692" s="62"/>
      <c r="E692" s="62"/>
      <c r="F692" s="62"/>
      <c r="G692" s="62"/>
      <c r="H692" s="62"/>
    </row>
    <row r="693" spans="1:8" x14ac:dyDescent="0.35">
      <c r="A693" s="61"/>
      <c r="B693" s="62"/>
      <c r="C693" s="62"/>
      <c r="D693" s="62"/>
      <c r="E693" s="62"/>
      <c r="F693" s="62"/>
      <c r="G693" s="62"/>
      <c r="H693" s="62"/>
    </row>
    <row r="694" spans="1:8" x14ac:dyDescent="0.35">
      <c r="A694" s="61"/>
      <c r="B694" s="62"/>
      <c r="C694" s="62"/>
      <c r="D694" s="62"/>
      <c r="E694" s="62"/>
      <c r="F694" s="62"/>
      <c r="G694" s="62"/>
      <c r="H694" s="62"/>
    </row>
    <row r="695" spans="1:8" x14ac:dyDescent="0.35">
      <c r="A695" s="61"/>
      <c r="B695" s="62"/>
      <c r="C695" s="62"/>
      <c r="D695" s="62"/>
      <c r="E695" s="62"/>
      <c r="F695" s="62"/>
      <c r="G695" s="62"/>
      <c r="H695" s="62"/>
    </row>
    <row r="696" spans="1:8" x14ac:dyDescent="0.35">
      <c r="A696" s="61"/>
      <c r="B696" s="62"/>
      <c r="C696" s="62"/>
      <c r="D696" s="62"/>
      <c r="E696" s="62"/>
      <c r="F696" s="62"/>
      <c r="G696" s="62"/>
      <c r="H696" s="62"/>
    </row>
    <row r="697" spans="1:8" x14ac:dyDescent="0.35">
      <c r="A697" s="61"/>
      <c r="B697" s="62"/>
      <c r="C697" s="62"/>
      <c r="D697" s="62"/>
      <c r="E697" s="62"/>
      <c r="F697" s="62"/>
      <c r="G697" s="62"/>
      <c r="H697" s="62"/>
    </row>
    <row r="698" spans="1:8" x14ac:dyDescent="0.35">
      <c r="A698" s="61"/>
      <c r="B698" s="62"/>
      <c r="C698" s="62"/>
      <c r="D698" s="62"/>
      <c r="E698" s="62"/>
      <c r="F698" s="62"/>
      <c r="G698" s="62"/>
      <c r="H698" s="62"/>
    </row>
    <row r="699" spans="1:8" x14ac:dyDescent="0.35">
      <c r="A699" s="61"/>
      <c r="B699" s="62"/>
      <c r="C699" s="62"/>
      <c r="D699" s="62"/>
      <c r="E699" s="62"/>
      <c r="F699" s="62"/>
      <c r="G699" s="62"/>
      <c r="H699" s="62"/>
    </row>
    <row r="700" spans="1:8" x14ac:dyDescent="0.35">
      <c r="A700" s="61"/>
      <c r="B700" s="62"/>
      <c r="C700" s="62"/>
      <c r="D700" s="62"/>
      <c r="E700" s="62"/>
      <c r="F700" s="62"/>
      <c r="G700" s="62"/>
      <c r="H700" s="62"/>
    </row>
    <row r="701" spans="1:8" x14ac:dyDescent="0.35">
      <c r="A701" s="61"/>
      <c r="B701" s="62"/>
      <c r="C701" s="62"/>
      <c r="D701" s="62"/>
      <c r="E701" s="62"/>
      <c r="F701" s="62"/>
      <c r="G701" s="62"/>
      <c r="H701" s="62"/>
    </row>
    <row r="702" spans="1:8" x14ac:dyDescent="0.35">
      <c r="A702" s="61"/>
      <c r="B702" s="62"/>
      <c r="C702" s="62"/>
      <c r="D702" s="62"/>
      <c r="E702" s="62"/>
      <c r="F702" s="62"/>
      <c r="G702" s="62"/>
      <c r="H702" s="62"/>
    </row>
    <row r="703" spans="1:8" x14ac:dyDescent="0.35">
      <c r="A703" s="61"/>
      <c r="B703" s="62"/>
      <c r="C703" s="62"/>
      <c r="D703" s="62"/>
      <c r="E703" s="62"/>
      <c r="F703" s="62"/>
      <c r="G703" s="62"/>
      <c r="H703" s="62"/>
    </row>
    <row r="704" spans="1:8" x14ac:dyDescent="0.35">
      <c r="A704" s="61"/>
      <c r="B704" s="62"/>
      <c r="C704" s="62"/>
      <c r="D704" s="62"/>
      <c r="E704" s="62"/>
      <c r="F704" s="62"/>
      <c r="G704" s="62"/>
      <c r="H704" s="62"/>
    </row>
    <row r="705" spans="1:8" x14ac:dyDescent="0.35">
      <c r="A705" s="61"/>
      <c r="B705" s="62"/>
      <c r="C705" s="62"/>
      <c r="D705" s="62"/>
      <c r="E705" s="62"/>
      <c r="F705" s="62"/>
      <c r="G705" s="62"/>
      <c r="H705" s="62"/>
    </row>
    <row r="706" spans="1:8" x14ac:dyDescent="0.35">
      <c r="A706" s="61"/>
      <c r="B706" s="62"/>
      <c r="C706" s="62"/>
      <c r="D706" s="62"/>
      <c r="E706" s="62"/>
      <c r="F706" s="62"/>
      <c r="G706" s="62"/>
      <c r="H706" s="62"/>
    </row>
    <row r="707" spans="1:8" x14ac:dyDescent="0.35">
      <c r="A707" s="61"/>
      <c r="B707" s="62"/>
      <c r="C707" s="62"/>
      <c r="D707" s="62"/>
      <c r="E707" s="62"/>
      <c r="F707" s="62"/>
      <c r="G707" s="62"/>
      <c r="H707" s="62"/>
    </row>
    <row r="708" spans="1:8" x14ac:dyDescent="0.35">
      <c r="A708" s="61"/>
      <c r="B708" s="62"/>
      <c r="C708" s="62"/>
      <c r="D708" s="62"/>
      <c r="E708" s="62"/>
      <c r="F708" s="62"/>
      <c r="G708" s="62"/>
      <c r="H708" s="62"/>
    </row>
    <row r="709" spans="1:8" x14ac:dyDescent="0.35">
      <c r="A709" s="61"/>
      <c r="B709" s="62"/>
      <c r="C709" s="62"/>
      <c r="D709" s="62"/>
      <c r="E709" s="62"/>
      <c r="F709" s="62"/>
      <c r="G709" s="62"/>
      <c r="H709" s="62"/>
    </row>
    <row r="710" spans="1:8" x14ac:dyDescent="0.35">
      <c r="A710" s="61"/>
      <c r="B710" s="62"/>
      <c r="C710" s="62"/>
      <c r="D710" s="62"/>
      <c r="E710" s="62"/>
      <c r="F710" s="62"/>
      <c r="G710" s="62"/>
      <c r="H710" s="62"/>
    </row>
    <row r="711" spans="1:8" x14ac:dyDescent="0.35">
      <c r="A711" s="61"/>
      <c r="B711" s="62"/>
      <c r="C711" s="62"/>
      <c r="D711" s="62"/>
      <c r="E711" s="62"/>
      <c r="F711" s="62"/>
      <c r="G711" s="62"/>
      <c r="H711" s="62"/>
    </row>
    <row r="712" spans="1:8" x14ac:dyDescent="0.35">
      <c r="A712" s="61"/>
      <c r="B712" s="62"/>
      <c r="C712" s="62"/>
      <c r="D712" s="62"/>
      <c r="E712" s="62"/>
      <c r="F712" s="62"/>
      <c r="G712" s="62"/>
      <c r="H712" s="62"/>
    </row>
    <row r="713" spans="1:8" x14ac:dyDescent="0.35">
      <c r="A713" s="61"/>
      <c r="B713" s="62"/>
      <c r="C713" s="62"/>
      <c r="D713" s="62"/>
      <c r="E713" s="62"/>
      <c r="F713" s="62"/>
      <c r="G713" s="62"/>
      <c r="H713" s="62"/>
    </row>
    <row r="714" spans="1:8" x14ac:dyDescent="0.35">
      <c r="A714" s="61"/>
      <c r="B714" s="62"/>
      <c r="C714" s="62"/>
      <c r="D714" s="62"/>
      <c r="E714" s="62"/>
      <c r="F714" s="62"/>
      <c r="G714" s="62"/>
      <c r="H714" s="62"/>
    </row>
    <row r="715" spans="1:8" x14ac:dyDescent="0.35">
      <c r="A715" s="61"/>
      <c r="B715" s="62"/>
      <c r="C715" s="62"/>
      <c r="D715" s="62"/>
      <c r="E715" s="62"/>
      <c r="F715" s="62"/>
      <c r="G715" s="62"/>
      <c r="H715" s="62"/>
    </row>
    <row r="716" spans="1:8" x14ac:dyDescent="0.35">
      <c r="A716" s="61"/>
      <c r="B716" s="62"/>
      <c r="C716" s="62"/>
      <c r="D716" s="62"/>
      <c r="E716" s="62"/>
      <c r="F716" s="62"/>
      <c r="G716" s="62"/>
      <c r="H716" s="62"/>
    </row>
    <row r="717" spans="1:8" x14ac:dyDescent="0.35">
      <c r="A717" s="61"/>
      <c r="B717" s="62"/>
      <c r="C717" s="62"/>
      <c r="D717" s="62"/>
      <c r="E717" s="62"/>
      <c r="F717" s="62"/>
      <c r="G717" s="62"/>
      <c r="H717" s="62"/>
    </row>
    <row r="718" spans="1:8" x14ac:dyDescent="0.35">
      <c r="A718" s="61"/>
      <c r="B718" s="62"/>
      <c r="C718" s="62"/>
      <c r="D718" s="62"/>
      <c r="E718" s="62"/>
      <c r="F718" s="62"/>
      <c r="G718" s="62"/>
      <c r="H718" s="62"/>
    </row>
    <row r="719" spans="1:8" x14ac:dyDescent="0.35">
      <c r="A719" s="61"/>
      <c r="B719" s="62"/>
      <c r="C719" s="62"/>
      <c r="D719" s="62"/>
      <c r="E719" s="62"/>
      <c r="F719" s="62"/>
      <c r="G719" s="62"/>
      <c r="H719" s="62"/>
    </row>
    <row r="720" spans="1:8" x14ac:dyDescent="0.35">
      <c r="A720" s="61"/>
      <c r="B720" s="62"/>
      <c r="C720" s="62"/>
      <c r="D720" s="62"/>
      <c r="E720" s="62"/>
      <c r="F720" s="62"/>
      <c r="G720" s="62"/>
      <c r="H720" s="62"/>
    </row>
    <row r="721" spans="1:8" x14ac:dyDescent="0.35">
      <c r="A721" s="61"/>
      <c r="B721" s="62"/>
      <c r="C721" s="62"/>
      <c r="D721" s="62"/>
      <c r="E721" s="62"/>
      <c r="F721" s="62"/>
      <c r="G721" s="62"/>
      <c r="H721" s="62"/>
    </row>
    <row r="722" spans="1:8" x14ac:dyDescent="0.35">
      <c r="A722" s="61"/>
      <c r="B722" s="62"/>
      <c r="C722" s="62"/>
      <c r="D722" s="62"/>
      <c r="E722" s="62"/>
      <c r="F722" s="62"/>
      <c r="G722" s="62"/>
      <c r="H722" s="62"/>
    </row>
    <row r="723" spans="1:8" x14ac:dyDescent="0.35">
      <c r="A723" s="61"/>
      <c r="B723" s="62"/>
      <c r="C723" s="62"/>
      <c r="D723" s="62"/>
      <c r="E723" s="62"/>
      <c r="F723" s="62"/>
      <c r="G723" s="62"/>
      <c r="H723" s="62"/>
    </row>
    <row r="724" spans="1:8" x14ac:dyDescent="0.35">
      <c r="A724" s="61"/>
      <c r="B724" s="62"/>
      <c r="C724" s="62"/>
      <c r="D724" s="62"/>
      <c r="E724" s="62"/>
      <c r="F724" s="62"/>
      <c r="G724" s="62"/>
      <c r="H724" s="62"/>
    </row>
    <row r="725" spans="1:8" x14ac:dyDescent="0.35">
      <c r="A725" s="61"/>
      <c r="B725" s="62"/>
      <c r="C725" s="62"/>
      <c r="D725" s="62"/>
      <c r="E725" s="62"/>
      <c r="F725" s="62"/>
      <c r="G725" s="62"/>
      <c r="H725" s="62"/>
    </row>
    <row r="726" spans="1:8" x14ac:dyDescent="0.35">
      <c r="A726" s="61"/>
      <c r="B726" s="62"/>
      <c r="C726" s="62"/>
      <c r="D726" s="62"/>
      <c r="E726" s="62"/>
      <c r="F726" s="62"/>
      <c r="G726" s="62"/>
      <c r="H726" s="62"/>
    </row>
    <row r="727" spans="1:8" x14ac:dyDescent="0.35">
      <c r="A727" s="61"/>
      <c r="B727" s="62"/>
      <c r="C727" s="62"/>
      <c r="D727" s="62"/>
      <c r="E727" s="62"/>
      <c r="F727" s="62"/>
      <c r="G727" s="62"/>
      <c r="H727" s="62"/>
    </row>
    <row r="728" spans="1:8" x14ac:dyDescent="0.35">
      <c r="A728" s="61"/>
      <c r="B728" s="62"/>
      <c r="C728" s="62"/>
      <c r="D728" s="62"/>
      <c r="E728" s="62"/>
      <c r="F728" s="62"/>
      <c r="G728" s="62"/>
      <c r="H728" s="62"/>
    </row>
    <row r="729" spans="1:8" x14ac:dyDescent="0.35">
      <c r="A729" s="61"/>
      <c r="B729" s="62"/>
      <c r="C729" s="62"/>
      <c r="D729" s="62"/>
      <c r="E729" s="62"/>
      <c r="F729" s="62"/>
      <c r="G729" s="62"/>
      <c r="H729" s="62"/>
    </row>
    <row r="730" spans="1:8" x14ac:dyDescent="0.35">
      <c r="A730" s="61"/>
      <c r="B730" s="62"/>
      <c r="C730" s="62"/>
      <c r="D730" s="62"/>
      <c r="E730" s="62"/>
      <c r="F730" s="62"/>
      <c r="G730" s="62"/>
      <c r="H730" s="62"/>
    </row>
    <row r="731" spans="1:8" x14ac:dyDescent="0.35">
      <c r="A731" s="61"/>
      <c r="B731" s="62"/>
      <c r="C731" s="62"/>
      <c r="D731" s="62"/>
      <c r="E731" s="62"/>
      <c r="F731" s="62"/>
      <c r="G731" s="62"/>
      <c r="H731" s="62"/>
    </row>
    <row r="732" spans="1:8" x14ac:dyDescent="0.35">
      <c r="A732" s="61"/>
      <c r="B732" s="62"/>
      <c r="C732" s="62"/>
      <c r="D732" s="62"/>
      <c r="E732" s="62"/>
      <c r="F732" s="62"/>
      <c r="G732" s="62"/>
      <c r="H732" s="62"/>
    </row>
    <row r="733" spans="1:8" x14ac:dyDescent="0.35">
      <c r="A733" s="61"/>
      <c r="B733" s="62"/>
      <c r="C733" s="62"/>
      <c r="D733" s="62"/>
      <c r="E733" s="62"/>
      <c r="F733" s="62"/>
      <c r="G733" s="62"/>
      <c r="H733" s="62"/>
    </row>
    <row r="734" spans="1:8" x14ac:dyDescent="0.35">
      <c r="A734" s="61"/>
      <c r="B734" s="62"/>
      <c r="C734" s="62"/>
      <c r="D734" s="62"/>
      <c r="E734" s="62"/>
      <c r="F734" s="62"/>
      <c r="G734" s="62"/>
      <c r="H734" s="62"/>
    </row>
    <row r="735" spans="1:8" x14ac:dyDescent="0.35">
      <c r="A735" s="61"/>
      <c r="B735" s="62"/>
      <c r="C735" s="62"/>
      <c r="D735" s="62"/>
      <c r="E735" s="62"/>
      <c r="F735" s="62"/>
      <c r="G735" s="62"/>
      <c r="H735" s="62"/>
    </row>
    <row r="736" spans="1:8" x14ac:dyDescent="0.35">
      <c r="A736" s="61"/>
      <c r="B736" s="62"/>
      <c r="C736" s="62"/>
      <c r="D736" s="62"/>
      <c r="E736" s="62"/>
      <c r="F736" s="62"/>
      <c r="G736" s="62"/>
      <c r="H736" s="62"/>
    </row>
    <row r="737" spans="1:8" x14ac:dyDescent="0.35">
      <c r="A737" s="61"/>
      <c r="B737" s="62"/>
      <c r="C737" s="62"/>
      <c r="D737" s="62"/>
      <c r="E737" s="62"/>
      <c r="F737" s="62"/>
      <c r="G737" s="62"/>
      <c r="H737" s="62"/>
    </row>
    <row r="738" spans="1:8" x14ac:dyDescent="0.35">
      <c r="A738" s="61"/>
      <c r="B738" s="62"/>
      <c r="C738" s="62"/>
      <c r="D738" s="62"/>
      <c r="E738" s="62"/>
      <c r="F738" s="62"/>
      <c r="G738" s="62"/>
      <c r="H738" s="62"/>
    </row>
    <row r="739" spans="1:8" x14ac:dyDescent="0.35">
      <c r="A739" s="61"/>
      <c r="B739" s="62"/>
      <c r="C739" s="62"/>
      <c r="D739" s="62"/>
      <c r="E739" s="62"/>
      <c r="F739" s="62"/>
      <c r="G739" s="62"/>
      <c r="H739" s="62"/>
    </row>
    <row r="740" spans="1:8" x14ac:dyDescent="0.35">
      <c r="A740" s="61"/>
      <c r="B740" s="62"/>
      <c r="C740" s="62"/>
      <c r="D740" s="62"/>
      <c r="E740" s="62"/>
      <c r="F740" s="62"/>
      <c r="G740" s="62"/>
      <c r="H740" s="62"/>
    </row>
    <row r="741" spans="1:8" x14ac:dyDescent="0.35">
      <c r="A741" s="61"/>
      <c r="B741" s="62"/>
      <c r="C741" s="62"/>
      <c r="D741" s="62"/>
      <c r="E741" s="62"/>
      <c r="F741" s="62"/>
      <c r="G741" s="62"/>
      <c r="H741" s="62"/>
    </row>
    <row r="742" spans="1:8" x14ac:dyDescent="0.35">
      <c r="A742" s="61"/>
      <c r="B742" s="62"/>
      <c r="C742" s="62"/>
      <c r="D742" s="62"/>
      <c r="E742" s="62"/>
      <c r="F742" s="62"/>
      <c r="G742" s="62"/>
      <c r="H742" s="62"/>
    </row>
    <row r="743" spans="1:8" x14ac:dyDescent="0.35">
      <c r="A743" s="61"/>
      <c r="B743" s="62"/>
      <c r="C743" s="62"/>
      <c r="D743" s="62"/>
      <c r="E743" s="62"/>
      <c r="F743" s="62"/>
      <c r="G743" s="62"/>
      <c r="H743" s="62"/>
    </row>
    <row r="744" spans="1:8" x14ac:dyDescent="0.35">
      <c r="A744" s="61"/>
      <c r="B744" s="62"/>
      <c r="C744" s="62"/>
      <c r="D744" s="62"/>
      <c r="E744" s="62"/>
      <c r="F744" s="62"/>
      <c r="G744" s="62"/>
      <c r="H744" s="62"/>
    </row>
    <row r="745" spans="1:8" x14ac:dyDescent="0.35">
      <c r="A745" s="61"/>
      <c r="B745" s="62"/>
      <c r="C745" s="62"/>
      <c r="D745" s="62"/>
      <c r="E745" s="62"/>
      <c r="F745" s="62"/>
      <c r="G745" s="62"/>
      <c r="H745" s="62"/>
    </row>
    <row r="746" spans="1:8" x14ac:dyDescent="0.35">
      <c r="A746" s="61"/>
      <c r="B746" s="62"/>
      <c r="C746" s="62"/>
      <c r="D746" s="62"/>
      <c r="E746" s="62"/>
      <c r="F746" s="62"/>
      <c r="G746" s="62"/>
      <c r="H746" s="62"/>
    </row>
    <row r="747" spans="1:8" x14ac:dyDescent="0.35">
      <c r="A747" s="61"/>
      <c r="B747" s="62"/>
      <c r="C747" s="62"/>
      <c r="D747" s="62"/>
      <c r="E747" s="62"/>
      <c r="F747" s="62"/>
      <c r="G747" s="62"/>
      <c r="H747" s="62"/>
    </row>
    <row r="748" spans="1:8" x14ac:dyDescent="0.35">
      <c r="A748" s="61"/>
      <c r="B748" s="62"/>
      <c r="C748" s="62"/>
      <c r="D748" s="62"/>
      <c r="E748" s="62"/>
      <c r="F748" s="62"/>
      <c r="G748" s="62"/>
      <c r="H748" s="62"/>
    </row>
    <row r="749" spans="1:8" x14ac:dyDescent="0.35">
      <c r="A749" s="61"/>
      <c r="B749" s="62"/>
      <c r="C749" s="62"/>
      <c r="D749" s="62"/>
      <c r="E749" s="62"/>
      <c r="F749" s="62"/>
      <c r="G749" s="62"/>
      <c r="H749" s="62"/>
    </row>
    <row r="750" spans="1:8" x14ac:dyDescent="0.35">
      <c r="A750" s="61"/>
      <c r="B750" s="62"/>
      <c r="C750" s="62"/>
      <c r="D750" s="62"/>
      <c r="E750" s="62"/>
      <c r="F750" s="62"/>
      <c r="G750" s="62"/>
      <c r="H750" s="62"/>
    </row>
    <row r="751" spans="1:8" x14ac:dyDescent="0.35">
      <c r="A751" s="61"/>
      <c r="B751" s="62"/>
      <c r="C751" s="62"/>
      <c r="D751" s="62"/>
      <c r="E751" s="62"/>
      <c r="F751" s="62"/>
      <c r="G751" s="62"/>
      <c r="H751" s="62"/>
    </row>
    <row r="752" spans="1:8" x14ac:dyDescent="0.35">
      <c r="A752" s="61"/>
      <c r="B752" s="62"/>
      <c r="C752" s="62"/>
      <c r="D752" s="62"/>
      <c r="E752" s="62"/>
      <c r="F752" s="62"/>
      <c r="G752" s="62"/>
      <c r="H752" s="62"/>
    </row>
    <row r="753" spans="1:8" x14ac:dyDescent="0.35">
      <c r="A753" s="61"/>
      <c r="B753" s="62"/>
      <c r="C753" s="62"/>
      <c r="D753" s="62"/>
      <c r="E753" s="62"/>
      <c r="F753" s="62"/>
      <c r="G753" s="62"/>
      <c r="H753" s="62"/>
    </row>
    <row r="754" spans="1:8" x14ac:dyDescent="0.35">
      <c r="A754" s="61"/>
      <c r="B754" s="62"/>
      <c r="C754" s="62"/>
      <c r="D754" s="62"/>
      <c r="E754" s="62"/>
      <c r="F754" s="62"/>
      <c r="G754" s="62"/>
      <c r="H754" s="62"/>
    </row>
    <row r="755" spans="1:8" x14ac:dyDescent="0.35">
      <c r="A755" s="61"/>
      <c r="B755" s="62"/>
      <c r="C755" s="62"/>
      <c r="D755" s="62"/>
      <c r="E755" s="62"/>
      <c r="F755" s="62"/>
      <c r="G755" s="62"/>
      <c r="H755" s="62"/>
    </row>
    <row r="756" spans="1:8" x14ac:dyDescent="0.35">
      <c r="A756" s="61"/>
      <c r="B756" s="62"/>
      <c r="C756" s="62"/>
      <c r="D756" s="62"/>
      <c r="E756" s="62"/>
      <c r="F756" s="62"/>
      <c r="G756" s="62"/>
      <c r="H756" s="62"/>
    </row>
    <row r="757" spans="1:8" x14ac:dyDescent="0.35">
      <c r="A757" s="61"/>
      <c r="B757" s="62"/>
      <c r="C757" s="62"/>
      <c r="D757" s="62"/>
      <c r="E757" s="62"/>
      <c r="F757" s="62"/>
      <c r="G757" s="62"/>
      <c r="H757" s="62"/>
    </row>
    <row r="758" spans="1:8" x14ac:dyDescent="0.35">
      <c r="A758" s="61"/>
      <c r="B758" s="62"/>
      <c r="C758" s="62"/>
      <c r="D758" s="62"/>
      <c r="E758" s="62"/>
      <c r="F758" s="62"/>
      <c r="G758" s="62"/>
      <c r="H758" s="62"/>
    </row>
    <row r="759" spans="1:8" x14ac:dyDescent="0.35">
      <c r="A759" s="61"/>
      <c r="B759" s="62"/>
      <c r="C759" s="62"/>
      <c r="D759" s="62"/>
      <c r="E759" s="62"/>
      <c r="F759" s="62"/>
      <c r="G759" s="62"/>
      <c r="H759" s="62"/>
    </row>
    <row r="760" spans="1:8" x14ac:dyDescent="0.35">
      <c r="A760" s="61"/>
      <c r="B760" s="62"/>
      <c r="C760" s="62"/>
      <c r="D760" s="62"/>
      <c r="E760" s="62"/>
      <c r="F760" s="62"/>
      <c r="G760" s="62"/>
      <c r="H760" s="62"/>
    </row>
    <row r="761" spans="1:8" x14ac:dyDescent="0.35">
      <c r="A761" s="61"/>
      <c r="B761" s="62"/>
      <c r="C761" s="62"/>
      <c r="D761" s="62"/>
      <c r="E761" s="62"/>
      <c r="F761" s="62"/>
      <c r="G761" s="62"/>
      <c r="H761" s="62"/>
    </row>
    <row r="762" spans="1:8" x14ac:dyDescent="0.35">
      <c r="A762" s="61"/>
      <c r="B762" s="62"/>
      <c r="C762" s="62"/>
      <c r="D762" s="62"/>
      <c r="E762" s="62"/>
      <c r="F762" s="62"/>
      <c r="G762" s="62"/>
      <c r="H762" s="62"/>
    </row>
    <row r="763" spans="1:8" x14ac:dyDescent="0.35">
      <c r="A763" s="61"/>
      <c r="B763" s="62"/>
      <c r="C763" s="62"/>
      <c r="D763" s="62"/>
      <c r="E763" s="62"/>
      <c r="F763" s="62"/>
      <c r="G763" s="62"/>
      <c r="H763" s="62"/>
    </row>
    <row r="764" spans="1:8" x14ac:dyDescent="0.35">
      <c r="A764" s="61"/>
      <c r="B764" s="62"/>
      <c r="C764" s="62"/>
      <c r="D764" s="62"/>
      <c r="E764" s="62"/>
      <c r="F764" s="62"/>
      <c r="G764" s="62"/>
      <c r="H764" s="62"/>
    </row>
    <row r="765" spans="1:8" x14ac:dyDescent="0.35">
      <c r="A765" s="61"/>
      <c r="B765" s="62"/>
      <c r="C765" s="62"/>
      <c r="D765" s="62"/>
      <c r="E765" s="62"/>
      <c r="F765" s="62"/>
      <c r="G765" s="62"/>
      <c r="H765" s="62"/>
    </row>
    <row r="766" spans="1:8" x14ac:dyDescent="0.35">
      <c r="A766" s="61"/>
      <c r="B766" s="62"/>
      <c r="C766" s="62"/>
      <c r="D766" s="62"/>
      <c r="E766" s="62"/>
      <c r="F766" s="62"/>
      <c r="G766" s="62"/>
      <c r="H766" s="62"/>
    </row>
    <row r="767" spans="1:8" x14ac:dyDescent="0.35">
      <c r="A767" s="61"/>
      <c r="B767" s="62"/>
      <c r="C767" s="62"/>
      <c r="D767" s="62"/>
      <c r="E767" s="62"/>
      <c r="F767" s="62"/>
      <c r="G767" s="62"/>
      <c r="H767" s="62"/>
    </row>
    <row r="768" spans="1:8" x14ac:dyDescent="0.35">
      <c r="A768" s="61"/>
      <c r="B768" s="62"/>
      <c r="C768" s="62"/>
      <c r="D768" s="62"/>
      <c r="E768" s="62"/>
      <c r="F768" s="62"/>
      <c r="G768" s="62"/>
      <c r="H768" s="62"/>
    </row>
    <row r="769" spans="1:8" x14ac:dyDescent="0.35">
      <c r="A769" s="61"/>
      <c r="B769" s="62"/>
      <c r="C769" s="62"/>
      <c r="D769" s="62"/>
      <c r="E769" s="62"/>
      <c r="F769" s="62"/>
      <c r="G769" s="62"/>
      <c r="H769" s="62"/>
    </row>
    <row r="770" spans="1:8" x14ac:dyDescent="0.35">
      <c r="A770" s="61"/>
      <c r="B770" s="62"/>
      <c r="C770" s="62"/>
      <c r="D770" s="62"/>
      <c r="E770" s="62"/>
      <c r="F770" s="62"/>
      <c r="G770" s="62"/>
      <c r="H770" s="62"/>
    </row>
    <row r="771" spans="1:8" x14ac:dyDescent="0.35">
      <c r="A771" s="61"/>
      <c r="B771" s="62"/>
      <c r="C771" s="62"/>
      <c r="D771" s="62"/>
      <c r="E771" s="62"/>
      <c r="F771" s="62"/>
      <c r="G771" s="62"/>
      <c r="H771" s="62"/>
    </row>
    <row r="772" spans="1:8" x14ac:dyDescent="0.35">
      <c r="A772" s="61"/>
      <c r="B772" s="62"/>
      <c r="C772" s="62"/>
      <c r="D772" s="62"/>
      <c r="E772" s="62"/>
      <c r="F772" s="62"/>
      <c r="G772" s="62"/>
      <c r="H772" s="62"/>
    </row>
    <row r="773" spans="1:8" x14ac:dyDescent="0.35">
      <c r="A773" s="61"/>
      <c r="B773" s="62"/>
      <c r="C773" s="62"/>
      <c r="D773" s="62"/>
      <c r="E773" s="62"/>
      <c r="F773" s="62"/>
      <c r="G773" s="62"/>
      <c r="H773" s="62"/>
    </row>
    <row r="774" spans="1:8" x14ac:dyDescent="0.35">
      <c r="A774" s="61"/>
      <c r="B774" s="62"/>
      <c r="C774" s="62"/>
      <c r="D774" s="62"/>
      <c r="E774" s="62"/>
      <c r="F774" s="62"/>
      <c r="G774" s="62"/>
      <c r="H774" s="62"/>
    </row>
    <row r="775" spans="1:8" x14ac:dyDescent="0.35">
      <c r="A775" s="61"/>
      <c r="B775" s="62"/>
      <c r="C775" s="62"/>
      <c r="D775" s="62"/>
      <c r="E775" s="62"/>
      <c r="F775" s="62"/>
      <c r="G775" s="62"/>
      <c r="H775" s="62"/>
    </row>
    <row r="776" spans="1:8" x14ac:dyDescent="0.35">
      <c r="A776" s="61"/>
      <c r="B776" s="62"/>
      <c r="C776" s="62"/>
      <c r="D776" s="62"/>
      <c r="E776" s="62"/>
      <c r="F776" s="62"/>
      <c r="G776" s="62"/>
      <c r="H776" s="62"/>
    </row>
    <row r="777" spans="1:8" x14ac:dyDescent="0.35">
      <c r="A777" s="61"/>
      <c r="B777" s="62"/>
      <c r="C777" s="62"/>
      <c r="D777" s="62"/>
      <c r="E777" s="62"/>
      <c r="F777" s="62"/>
      <c r="G777" s="62"/>
      <c r="H777" s="62"/>
    </row>
    <row r="778" spans="1:8" x14ac:dyDescent="0.35">
      <c r="A778" s="61"/>
      <c r="B778" s="62"/>
      <c r="C778" s="62"/>
      <c r="D778" s="62"/>
      <c r="E778" s="62"/>
      <c r="F778" s="62"/>
      <c r="G778" s="62"/>
      <c r="H778" s="62"/>
    </row>
    <row r="779" spans="1:8" x14ac:dyDescent="0.35">
      <c r="A779" s="61"/>
      <c r="B779" s="62"/>
      <c r="C779" s="62"/>
      <c r="D779" s="62"/>
      <c r="E779" s="62"/>
      <c r="F779" s="62"/>
      <c r="G779" s="62"/>
      <c r="H779" s="62"/>
    </row>
    <row r="780" spans="1:8" x14ac:dyDescent="0.35">
      <c r="A780" s="61"/>
      <c r="B780" s="62"/>
      <c r="C780" s="62"/>
      <c r="D780" s="62"/>
      <c r="E780" s="62"/>
      <c r="F780" s="62"/>
      <c r="G780" s="62"/>
      <c r="H780" s="62"/>
    </row>
    <row r="781" spans="1:8" x14ac:dyDescent="0.35">
      <c r="A781" s="61"/>
      <c r="B781" s="62"/>
      <c r="C781" s="62"/>
      <c r="D781" s="62"/>
      <c r="E781" s="62"/>
      <c r="F781" s="62"/>
      <c r="G781" s="62"/>
      <c r="H781" s="62"/>
    </row>
    <row r="782" spans="1:8" x14ac:dyDescent="0.35">
      <c r="A782" s="61"/>
      <c r="B782" s="62"/>
      <c r="C782" s="62"/>
      <c r="D782" s="62"/>
      <c r="E782" s="62"/>
      <c r="F782" s="62"/>
      <c r="G782" s="62"/>
      <c r="H782" s="62"/>
    </row>
    <row r="783" spans="1:8" x14ac:dyDescent="0.35">
      <c r="A783" s="61"/>
      <c r="B783" s="62"/>
      <c r="C783" s="62"/>
      <c r="D783" s="62"/>
      <c r="E783" s="62"/>
      <c r="F783" s="62"/>
      <c r="G783" s="62"/>
      <c r="H783" s="62"/>
    </row>
    <row r="784" spans="1:8" x14ac:dyDescent="0.35">
      <c r="A784" s="61"/>
      <c r="B784" s="62"/>
      <c r="C784" s="62"/>
      <c r="D784" s="62"/>
      <c r="E784" s="62"/>
      <c r="F784" s="62"/>
      <c r="G784" s="62"/>
      <c r="H784" s="62"/>
    </row>
    <row r="785" spans="1:8" x14ac:dyDescent="0.35">
      <c r="A785" s="61"/>
      <c r="B785" s="62"/>
      <c r="C785" s="62"/>
      <c r="D785" s="62"/>
      <c r="E785" s="62"/>
      <c r="F785" s="62"/>
      <c r="G785" s="62"/>
      <c r="H785" s="62"/>
    </row>
    <row r="786" spans="1:8" x14ac:dyDescent="0.35">
      <c r="A786" s="61"/>
      <c r="B786" s="62"/>
      <c r="C786" s="62"/>
      <c r="D786" s="62"/>
      <c r="E786" s="62"/>
      <c r="F786" s="62"/>
      <c r="G786" s="62"/>
      <c r="H786" s="62"/>
    </row>
    <row r="787" spans="1:8" x14ac:dyDescent="0.35">
      <c r="A787" s="61"/>
      <c r="B787" s="62"/>
      <c r="C787" s="62"/>
      <c r="D787" s="62"/>
      <c r="E787" s="62"/>
      <c r="F787" s="62"/>
      <c r="G787" s="62"/>
      <c r="H787" s="62"/>
    </row>
    <row r="788" spans="1:8" x14ac:dyDescent="0.35">
      <c r="A788" s="61"/>
      <c r="B788" s="62"/>
      <c r="C788" s="62"/>
      <c r="D788" s="62"/>
      <c r="E788" s="62"/>
      <c r="F788" s="62"/>
      <c r="G788" s="62"/>
      <c r="H788" s="62"/>
    </row>
    <row r="789" spans="1:8" x14ac:dyDescent="0.35">
      <c r="A789" s="61"/>
      <c r="B789" s="62"/>
      <c r="C789" s="62"/>
      <c r="D789" s="62"/>
      <c r="E789" s="62"/>
      <c r="F789" s="62"/>
      <c r="G789" s="62"/>
      <c r="H789" s="62"/>
    </row>
    <row r="790" spans="1:8" x14ac:dyDescent="0.35">
      <c r="A790" s="61"/>
      <c r="B790" s="62"/>
      <c r="C790" s="62"/>
      <c r="D790" s="62"/>
      <c r="E790" s="62"/>
      <c r="F790" s="62"/>
      <c r="G790" s="62"/>
      <c r="H790" s="62"/>
    </row>
    <row r="791" spans="1:8" x14ac:dyDescent="0.35">
      <c r="A791" s="61"/>
      <c r="B791" s="62"/>
      <c r="C791" s="62"/>
      <c r="D791" s="62"/>
      <c r="E791" s="62"/>
      <c r="F791" s="62"/>
      <c r="G791" s="62"/>
      <c r="H791" s="62"/>
    </row>
    <row r="792" spans="1:8" x14ac:dyDescent="0.35">
      <c r="A792" s="61"/>
      <c r="B792" s="62"/>
      <c r="C792" s="62"/>
      <c r="D792" s="62"/>
      <c r="E792" s="62"/>
      <c r="F792" s="62"/>
      <c r="G792" s="62"/>
      <c r="H792" s="62"/>
    </row>
    <row r="793" spans="1:8" x14ac:dyDescent="0.35">
      <c r="A793" s="61"/>
      <c r="B793" s="62"/>
      <c r="C793" s="62"/>
      <c r="D793" s="62"/>
      <c r="E793" s="62"/>
      <c r="F793" s="62"/>
      <c r="G793" s="62"/>
      <c r="H793" s="62"/>
    </row>
    <row r="794" spans="1:8" x14ac:dyDescent="0.35">
      <c r="A794" s="61"/>
      <c r="B794" s="62"/>
      <c r="C794" s="62"/>
      <c r="D794" s="62"/>
      <c r="E794" s="62"/>
      <c r="F794" s="62"/>
      <c r="G794" s="62"/>
      <c r="H794" s="62"/>
    </row>
    <row r="795" spans="1:8" x14ac:dyDescent="0.35">
      <c r="A795" s="61"/>
      <c r="B795" s="62"/>
      <c r="C795" s="62"/>
      <c r="D795" s="62"/>
      <c r="E795" s="62"/>
      <c r="F795" s="62"/>
      <c r="G795" s="62"/>
      <c r="H795" s="62"/>
    </row>
    <row r="796" spans="1:8" x14ac:dyDescent="0.35">
      <c r="A796" s="61"/>
      <c r="B796" s="62"/>
      <c r="C796" s="62"/>
      <c r="D796" s="62"/>
      <c r="E796" s="62"/>
      <c r="F796" s="62"/>
      <c r="G796" s="62"/>
      <c r="H796" s="62"/>
    </row>
    <row r="797" spans="1:8" x14ac:dyDescent="0.35">
      <c r="A797" s="61"/>
      <c r="B797" s="62"/>
      <c r="C797" s="62"/>
      <c r="D797" s="62"/>
      <c r="E797" s="62"/>
      <c r="F797" s="62"/>
      <c r="G797" s="62"/>
      <c r="H797" s="62"/>
    </row>
    <row r="798" spans="1:8" x14ac:dyDescent="0.35">
      <c r="A798" s="61"/>
      <c r="B798" s="62"/>
      <c r="C798" s="62"/>
      <c r="D798" s="62"/>
      <c r="E798" s="62"/>
      <c r="F798" s="62"/>
      <c r="G798" s="62"/>
      <c r="H798" s="62"/>
    </row>
    <row r="799" spans="1:8" x14ac:dyDescent="0.35">
      <c r="A799" s="61"/>
      <c r="B799" s="62"/>
      <c r="C799" s="62"/>
      <c r="D799" s="62"/>
      <c r="E799" s="62"/>
      <c r="F799" s="62"/>
      <c r="G799" s="62"/>
      <c r="H799" s="62"/>
    </row>
    <row r="800" spans="1:8" x14ac:dyDescent="0.35">
      <c r="A800" s="61"/>
      <c r="B800" s="62"/>
      <c r="C800" s="62"/>
      <c r="D800" s="62"/>
      <c r="E800" s="62"/>
      <c r="F800" s="62"/>
      <c r="G800" s="62"/>
      <c r="H800" s="62"/>
    </row>
    <row r="801" spans="1:8" x14ac:dyDescent="0.35">
      <c r="A801" s="61"/>
      <c r="B801" s="62"/>
      <c r="C801" s="62"/>
      <c r="D801" s="62"/>
      <c r="E801" s="62"/>
      <c r="F801" s="62"/>
      <c r="G801" s="62"/>
      <c r="H801" s="62"/>
    </row>
    <row r="802" spans="1:8" x14ac:dyDescent="0.35">
      <c r="A802" s="61"/>
      <c r="B802" s="62"/>
      <c r="C802" s="62"/>
      <c r="D802" s="62"/>
      <c r="E802" s="62"/>
      <c r="F802" s="62"/>
      <c r="G802" s="62"/>
      <c r="H802" s="62"/>
    </row>
    <row r="803" spans="1:8" x14ac:dyDescent="0.35">
      <c r="A803" s="61"/>
      <c r="B803" s="62"/>
      <c r="C803" s="62"/>
      <c r="D803" s="62"/>
      <c r="E803" s="62"/>
      <c r="F803" s="62"/>
      <c r="G803" s="62"/>
      <c r="H803" s="62"/>
    </row>
    <row r="804" spans="1:8" x14ac:dyDescent="0.35">
      <c r="A804" s="61"/>
      <c r="B804" s="62"/>
      <c r="C804" s="62"/>
      <c r="D804" s="62"/>
      <c r="E804" s="62"/>
      <c r="F804" s="62"/>
      <c r="G804" s="62"/>
      <c r="H804" s="62"/>
    </row>
    <row r="805" spans="1:8" x14ac:dyDescent="0.35">
      <c r="A805" s="61"/>
      <c r="B805" s="62"/>
      <c r="C805" s="62"/>
      <c r="D805" s="62"/>
      <c r="E805" s="62"/>
      <c r="F805" s="62"/>
      <c r="G805" s="62"/>
      <c r="H805" s="62"/>
    </row>
    <row r="806" spans="1:8" x14ac:dyDescent="0.35">
      <c r="A806" s="61"/>
      <c r="B806" s="62"/>
      <c r="C806" s="62"/>
      <c r="D806" s="62"/>
      <c r="E806" s="62"/>
      <c r="F806" s="62"/>
      <c r="G806" s="62"/>
      <c r="H806" s="62"/>
    </row>
    <row r="807" spans="1:8" x14ac:dyDescent="0.35">
      <c r="A807" s="61"/>
      <c r="B807" s="62"/>
      <c r="C807" s="62"/>
      <c r="D807" s="62"/>
      <c r="E807" s="62"/>
      <c r="F807" s="62"/>
      <c r="G807" s="62"/>
      <c r="H807" s="62"/>
    </row>
    <row r="808" spans="1:8" x14ac:dyDescent="0.35">
      <c r="A808" s="61"/>
      <c r="B808" s="62"/>
      <c r="C808" s="62"/>
      <c r="D808" s="62"/>
      <c r="E808" s="62"/>
      <c r="F808" s="62"/>
      <c r="G808" s="62"/>
      <c r="H808" s="62"/>
    </row>
    <row r="809" spans="1:8" x14ac:dyDescent="0.35">
      <c r="A809" s="61"/>
      <c r="B809" s="62"/>
      <c r="C809" s="62"/>
      <c r="D809" s="62"/>
      <c r="E809" s="62"/>
      <c r="F809" s="62"/>
      <c r="G809" s="62"/>
      <c r="H809" s="62"/>
    </row>
    <row r="810" spans="1:8" x14ac:dyDescent="0.35">
      <c r="A810" s="61"/>
      <c r="B810" s="62"/>
      <c r="C810" s="62"/>
      <c r="D810" s="62"/>
      <c r="E810" s="62"/>
      <c r="F810" s="62"/>
      <c r="G810" s="62"/>
      <c r="H810" s="62"/>
    </row>
    <row r="811" spans="1:8" x14ac:dyDescent="0.35">
      <c r="A811" s="61"/>
      <c r="B811" s="62"/>
      <c r="C811" s="62"/>
      <c r="D811" s="62"/>
      <c r="E811" s="62"/>
      <c r="F811" s="62"/>
      <c r="G811" s="62"/>
      <c r="H811" s="62"/>
    </row>
    <row r="812" spans="1:8" x14ac:dyDescent="0.35">
      <c r="A812" s="61"/>
      <c r="B812" s="62"/>
      <c r="C812" s="62"/>
      <c r="D812" s="62"/>
      <c r="E812" s="62"/>
      <c r="F812" s="62"/>
      <c r="G812" s="62"/>
      <c r="H812" s="62"/>
    </row>
    <row r="813" spans="1:8" x14ac:dyDescent="0.35">
      <c r="A813" s="61"/>
      <c r="B813" s="62"/>
      <c r="C813" s="62"/>
      <c r="D813" s="62"/>
      <c r="E813" s="62"/>
      <c r="F813" s="62"/>
      <c r="G813" s="62"/>
      <c r="H813" s="62"/>
    </row>
    <row r="814" spans="1:8" x14ac:dyDescent="0.35">
      <c r="A814" s="61"/>
      <c r="B814" s="62"/>
      <c r="C814" s="62"/>
      <c r="D814" s="62"/>
      <c r="E814" s="62"/>
      <c r="F814" s="62"/>
      <c r="G814" s="62"/>
      <c r="H814" s="62"/>
    </row>
    <row r="815" spans="1:8" x14ac:dyDescent="0.35">
      <c r="A815" s="61"/>
      <c r="B815" s="62"/>
      <c r="C815" s="62"/>
      <c r="D815" s="62"/>
      <c r="E815" s="62"/>
      <c r="F815" s="62"/>
      <c r="G815" s="62"/>
      <c r="H815" s="62"/>
    </row>
    <row r="816" spans="1:8" x14ac:dyDescent="0.35">
      <c r="A816" s="61"/>
      <c r="B816" s="62"/>
      <c r="C816" s="62"/>
      <c r="D816" s="62"/>
      <c r="E816" s="62"/>
      <c r="F816" s="62"/>
      <c r="G816" s="62"/>
      <c r="H816" s="62"/>
    </row>
    <row r="817" spans="1:8" x14ac:dyDescent="0.35">
      <c r="A817" s="61"/>
      <c r="B817" s="62"/>
      <c r="C817" s="62"/>
      <c r="D817" s="62"/>
      <c r="E817" s="62"/>
      <c r="F817" s="62"/>
      <c r="G817" s="62"/>
      <c r="H817" s="62"/>
    </row>
    <row r="818" spans="1:8" x14ac:dyDescent="0.35">
      <c r="A818" s="61"/>
      <c r="B818" s="62"/>
      <c r="C818" s="62"/>
      <c r="D818" s="62"/>
      <c r="E818" s="62"/>
      <c r="F818" s="62"/>
      <c r="G818" s="62"/>
      <c r="H818" s="62"/>
    </row>
    <row r="819" spans="1:8" x14ac:dyDescent="0.35">
      <c r="A819" s="61"/>
      <c r="B819" s="62"/>
      <c r="C819" s="62"/>
      <c r="D819" s="62"/>
      <c r="E819" s="62"/>
      <c r="F819" s="62"/>
      <c r="G819" s="62"/>
      <c r="H819" s="62"/>
    </row>
    <row r="820" spans="1:8" x14ac:dyDescent="0.35">
      <c r="A820" s="61"/>
      <c r="B820" s="62"/>
      <c r="C820" s="62"/>
      <c r="D820" s="62"/>
      <c r="E820" s="62"/>
      <c r="F820" s="62"/>
      <c r="G820" s="62"/>
      <c r="H820" s="62"/>
    </row>
    <row r="821" spans="1:8" x14ac:dyDescent="0.35">
      <c r="A821" s="61"/>
      <c r="B821" s="62"/>
      <c r="C821" s="62"/>
      <c r="D821" s="62"/>
      <c r="E821" s="62"/>
      <c r="F821" s="62"/>
      <c r="G821" s="62"/>
      <c r="H821" s="62"/>
    </row>
    <row r="822" spans="1:8" x14ac:dyDescent="0.35">
      <c r="A822" s="61"/>
      <c r="B822" s="62"/>
      <c r="C822" s="62"/>
      <c r="D822" s="62"/>
      <c r="E822" s="62"/>
      <c r="F822" s="62"/>
      <c r="G822" s="62"/>
      <c r="H822" s="62"/>
    </row>
    <row r="823" spans="1:8" x14ac:dyDescent="0.35">
      <c r="A823" s="61"/>
      <c r="B823" s="62"/>
      <c r="C823" s="62"/>
      <c r="D823" s="62"/>
      <c r="E823" s="62"/>
      <c r="F823" s="62"/>
      <c r="G823" s="62"/>
      <c r="H823" s="62"/>
    </row>
    <row r="824" spans="1:8" x14ac:dyDescent="0.35">
      <c r="A824" s="61"/>
      <c r="B824" s="62"/>
      <c r="C824" s="62"/>
      <c r="D824" s="62"/>
      <c r="E824" s="62"/>
      <c r="F824" s="62"/>
      <c r="G824" s="62"/>
      <c r="H824" s="62"/>
    </row>
    <row r="825" spans="1:8" x14ac:dyDescent="0.35">
      <c r="A825" s="61"/>
      <c r="B825" s="62"/>
      <c r="C825" s="62"/>
      <c r="D825" s="62"/>
      <c r="E825" s="62"/>
      <c r="F825" s="62"/>
      <c r="G825" s="62"/>
      <c r="H825" s="62"/>
    </row>
    <row r="826" spans="1:8" x14ac:dyDescent="0.35">
      <c r="A826" s="61"/>
      <c r="B826" s="62"/>
      <c r="C826" s="62"/>
      <c r="D826" s="62"/>
      <c r="E826" s="62"/>
      <c r="F826" s="62"/>
      <c r="G826" s="62"/>
      <c r="H826" s="62"/>
    </row>
    <row r="827" spans="1:8" x14ac:dyDescent="0.35">
      <c r="A827" s="61"/>
      <c r="B827" s="62"/>
      <c r="C827" s="62"/>
      <c r="D827" s="62"/>
      <c r="E827" s="62"/>
      <c r="F827" s="62"/>
      <c r="G827" s="62"/>
      <c r="H827" s="62"/>
    </row>
    <row r="828" spans="1:8" x14ac:dyDescent="0.35">
      <c r="A828" s="61"/>
      <c r="B828" s="62"/>
      <c r="C828" s="62"/>
      <c r="D828" s="62"/>
      <c r="E828" s="62"/>
      <c r="F828" s="62"/>
      <c r="G828" s="62"/>
      <c r="H828" s="62"/>
    </row>
    <row r="829" spans="1:8" x14ac:dyDescent="0.35">
      <c r="A829" s="61"/>
      <c r="B829" s="62"/>
      <c r="C829" s="62"/>
      <c r="D829" s="62"/>
      <c r="E829" s="62"/>
      <c r="F829" s="62"/>
      <c r="G829" s="62"/>
      <c r="H829" s="62"/>
    </row>
    <row r="830" spans="1:8" x14ac:dyDescent="0.35">
      <c r="A830" s="61"/>
      <c r="B830" s="62"/>
      <c r="C830" s="62"/>
      <c r="D830" s="62"/>
      <c r="E830" s="62"/>
      <c r="F830" s="62"/>
      <c r="G830" s="62"/>
      <c r="H830" s="62"/>
    </row>
    <row r="831" spans="1:8" x14ac:dyDescent="0.35">
      <c r="A831" s="61"/>
      <c r="B831" s="62"/>
      <c r="C831" s="62"/>
      <c r="D831" s="62"/>
      <c r="E831" s="62"/>
      <c r="F831" s="62"/>
      <c r="G831" s="62"/>
      <c r="H831" s="62"/>
    </row>
    <row r="832" spans="1:8" x14ac:dyDescent="0.35">
      <c r="A832" s="61"/>
      <c r="B832" s="62"/>
      <c r="C832" s="62"/>
      <c r="D832" s="62"/>
      <c r="E832" s="62"/>
      <c r="F832" s="62"/>
      <c r="G832" s="62"/>
      <c r="H832" s="62"/>
    </row>
    <row r="833" spans="1:8" x14ac:dyDescent="0.35">
      <c r="A833" s="61"/>
      <c r="B833" s="62"/>
      <c r="C833" s="62"/>
      <c r="D833" s="62"/>
      <c r="E833" s="62"/>
      <c r="F833" s="62"/>
      <c r="G833" s="62"/>
      <c r="H833" s="62"/>
    </row>
    <row r="834" spans="1:8" x14ac:dyDescent="0.35">
      <c r="A834" s="61"/>
      <c r="B834" s="62"/>
      <c r="C834" s="62"/>
      <c r="D834" s="62"/>
      <c r="E834" s="62"/>
      <c r="F834" s="62"/>
      <c r="G834" s="62"/>
      <c r="H834" s="62"/>
    </row>
    <row r="835" spans="1:8" x14ac:dyDescent="0.35">
      <c r="A835" s="61"/>
      <c r="B835" s="62"/>
      <c r="C835" s="62"/>
      <c r="D835" s="62"/>
      <c r="E835" s="62"/>
      <c r="F835" s="62"/>
      <c r="G835" s="62"/>
      <c r="H835" s="62"/>
    </row>
    <row r="836" spans="1:8" x14ac:dyDescent="0.35">
      <c r="A836" s="61"/>
      <c r="B836" s="62"/>
      <c r="C836" s="62"/>
      <c r="D836" s="62"/>
      <c r="E836" s="62"/>
      <c r="F836" s="62"/>
      <c r="G836" s="62"/>
      <c r="H836" s="62"/>
    </row>
    <row r="837" spans="1:8" x14ac:dyDescent="0.35">
      <c r="A837" s="61"/>
      <c r="B837" s="62"/>
      <c r="C837" s="62"/>
      <c r="D837" s="62"/>
      <c r="E837" s="62"/>
      <c r="F837" s="62"/>
      <c r="G837" s="62"/>
      <c r="H837" s="62"/>
    </row>
    <row r="838" spans="1:8" x14ac:dyDescent="0.35">
      <c r="A838" s="61"/>
      <c r="B838" s="62"/>
      <c r="C838" s="62"/>
      <c r="D838" s="62"/>
      <c r="E838" s="62"/>
      <c r="F838" s="62"/>
      <c r="G838" s="62"/>
      <c r="H838" s="62"/>
    </row>
    <row r="839" spans="1:8" x14ac:dyDescent="0.35">
      <c r="A839" s="61"/>
      <c r="B839" s="62"/>
      <c r="C839" s="62"/>
      <c r="D839" s="62"/>
      <c r="E839" s="62"/>
      <c r="F839" s="62"/>
      <c r="G839" s="62"/>
      <c r="H839" s="62"/>
    </row>
    <row r="840" spans="1:8" x14ac:dyDescent="0.35">
      <c r="A840" s="61"/>
      <c r="B840" s="62"/>
      <c r="C840" s="62"/>
      <c r="D840" s="62"/>
      <c r="E840" s="62"/>
      <c r="F840" s="62"/>
      <c r="G840" s="62"/>
      <c r="H840" s="62"/>
    </row>
    <row r="841" spans="1:8" x14ac:dyDescent="0.35">
      <c r="A841" s="61"/>
      <c r="B841" s="62"/>
      <c r="C841" s="62"/>
      <c r="D841" s="62"/>
      <c r="E841" s="62"/>
      <c r="F841" s="62"/>
      <c r="G841" s="62"/>
      <c r="H841" s="62"/>
    </row>
    <row r="842" spans="1:8" x14ac:dyDescent="0.35">
      <c r="A842" s="61"/>
      <c r="B842" s="62"/>
      <c r="C842" s="62"/>
      <c r="D842" s="62"/>
      <c r="E842" s="62"/>
      <c r="F842" s="62"/>
      <c r="G842" s="62"/>
      <c r="H842" s="62"/>
    </row>
    <row r="843" spans="1:8" x14ac:dyDescent="0.35">
      <c r="A843" s="61"/>
      <c r="B843" s="62"/>
      <c r="C843" s="62"/>
      <c r="D843" s="62"/>
      <c r="E843" s="62"/>
      <c r="F843" s="62"/>
      <c r="G843" s="62"/>
      <c r="H843" s="62"/>
    </row>
    <row r="844" spans="1:8" x14ac:dyDescent="0.35">
      <c r="A844" s="61"/>
      <c r="B844" s="62"/>
      <c r="C844" s="62"/>
      <c r="D844" s="62"/>
      <c r="E844" s="62"/>
      <c r="F844" s="62"/>
      <c r="G844" s="62"/>
      <c r="H844" s="62"/>
    </row>
    <row r="845" spans="1:8" x14ac:dyDescent="0.35">
      <c r="A845" s="61"/>
      <c r="B845" s="62"/>
      <c r="C845" s="62"/>
      <c r="D845" s="62"/>
      <c r="E845" s="62"/>
      <c r="F845" s="62"/>
      <c r="G845" s="62"/>
      <c r="H845" s="62"/>
    </row>
    <row r="846" spans="1:8" x14ac:dyDescent="0.35">
      <c r="A846" s="61"/>
      <c r="B846" s="62"/>
      <c r="C846" s="62"/>
      <c r="D846" s="62"/>
      <c r="E846" s="62"/>
      <c r="F846" s="62"/>
      <c r="G846" s="62"/>
      <c r="H846" s="62"/>
    </row>
    <row r="847" spans="1:8" x14ac:dyDescent="0.35">
      <c r="A847" s="61"/>
      <c r="B847" s="62"/>
      <c r="C847" s="62"/>
      <c r="D847" s="62"/>
      <c r="E847" s="62"/>
      <c r="F847" s="62"/>
      <c r="G847" s="62"/>
      <c r="H847" s="62"/>
    </row>
    <row r="848" spans="1:8" x14ac:dyDescent="0.35">
      <c r="A848" s="61"/>
      <c r="B848" s="62"/>
      <c r="C848" s="62"/>
      <c r="D848" s="62"/>
      <c r="E848" s="62"/>
      <c r="F848" s="62"/>
      <c r="G848" s="62"/>
      <c r="H848" s="62"/>
    </row>
    <row r="849" spans="1:8" x14ac:dyDescent="0.35">
      <c r="A849" s="61"/>
      <c r="B849" s="62"/>
      <c r="C849" s="62"/>
      <c r="D849" s="62"/>
      <c r="E849" s="62"/>
      <c r="F849" s="62"/>
      <c r="G849" s="62"/>
      <c r="H849" s="62"/>
    </row>
    <row r="850" spans="1:8" x14ac:dyDescent="0.35">
      <c r="A850" s="61"/>
      <c r="B850" s="62"/>
      <c r="C850" s="62"/>
      <c r="D850" s="62"/>
      <c r="E850" s="62"/>
      <c r="F850" s="62"/>
      <c r="G850" s="62"/>
      <c r="H850" s="62"/>
    </row>
    <row r="851" spans="1:8" x14ac:dyDescent="0.35">
      <c r="A851" s="61"/>
      <c r="B851" s="62"/>
      <c r="C851" s="62"/>
      <c r="D851" s="62"/>
      <c r="E851" s="62"/>
      <c r="F851" s="62"/>
      <c r="G851" s="62"/>
      <c r="H851" s="62"/>
    </row>
    <row r="852" spans="1:8" x14ac:dyDescent="0.35">
      <c r="A852" s="61"/>
      <c r="B852" s="62"/>
      <c r="C852" s="62"/>
      <c r="D852" s="62"/>
      <c r="E852" s="62"/>
      <c r="F852" s="62"/>
      <c r="G852" s="62"/>
      <c r="H852" s="62"/>
    </row>
    <row r="853" spans="1:8" x14ac:dyDescent="0.35">
      <c r="A853" s="61"/>
      <c r="B853" s="62"/>
      <c r="C853" s="62"/>
      <c r="D853" s="62"/>
      <c r="E853" s="62"/>
      <c r="F853" s="62"/>
      <c r="G853" s="62"/>
      <c r="H853" s="62"/>
    </row>
    <row r="854" spans="1:8" x14ac:dyDescent="0.35">
      <c r="A854" s="61"/>
      <c r="B854" s="62"/>
      <c r="C854" s="62"/>
      <c r="D854" s="62"/>
      <c r="E854" s="62"/>
      <c r="F854" s="62"/>
      <c r="G854" s="62"/>
      <c r="H854" s="62"/>
    </row>
    <row r="855" spans="1:8" x14ac:dyDescent="0.35">
      <c r="A855" s="61"/>
      <c r="B855" s="62"/>
      <c r="C855" s="62"/>
      <c r="D855" s="62"/>
      <c r="E855" s="62"/>
      <c r="F855" s="62"/>
      <c r="G855" s="62"/>
      <c r="H855" s="62"/>
    </row>
    <row r="856" spans="1:8" x14ac:dyDescent="0.35">
      <c r="A856" s="61"/>
      <c r="B856" s="62"/>
      <c r="C856" s="62"/>
      <c r="D856" s="62"/>
      <c r="E856" s="62"/>
      <c r="F856" s="62"/>
      <c r="G856" s="62"/>
      <c r="H856" s="62"/>
    </row>
    <row r="857" spans="1:8" x14ac:dyDescent="0.35">
      <c r="A857" s="61"/>
      <c r="B857" s="62"/>
      <c r="C857" s="62"/>
      <c r="D857" s="62"/>
      <c r="E857" s="62"/>
      <c r="F857" s="62"/>
      <c r="G857" s="62"/>
      <c r="H857" s="62"/>
    </row>
    <row r="858" spans="1:8" x14ac:dyDescent="0.35">
      <c r="A858" s="61"/>
      <c r="B858" s="62"/>
      <c r="C858" s="62"/>
      <c r="D858" s="62"/>
      <c r="E858" s="62"/>
      <c r="F858" s="62"/>
      <c r="G858" s="62"/>
      <c r="H858" s="62"/>
    </row>
    <row r="859" spans="1:8" x14ac:dyDescent="0.35">
      <c r="A859" s="61"/>
      <c r="B859" s="62"/>
      <c r="C859" s="62"/>
      <c r="D859" s="62"/>
      <c r="E859" s="62"/>
      <c r="F859" s="62"/>
      <c r="G859" s="62"/>
      <c r="H859" s="62"/>
    </row>
    <row r="860" spans="1:8" x14ac:dyDescent="0.35">
      <c r="A860" s="61"/>
      <c r="B860" s="62"/>
      <c r="C860" s="62"/>
      <c r="D860" s="62"/>
      <c r="E860" s="62"/>
      <c r="F860" s="62"/>
      <c r="G860" s="62"/>
      <c r="H860" s="62"/>
    </row>
    <row r="861" spans="1:8" x14ac:dyDescent="0.35">
      <c r="A861" s="61"/>
      <c r="B861" s="62"/>
      <c r="C861" s="62"/>
      <c r="D861" s="62"/>
      <c r="E861" s="62"/>
      <c r="F861" s="62"/>
      <c r="G861" s="62"/>
      <c r="H861" s="62"/>
    </row>
    <row r="862" spans="1:8" x14ac:dyDescent="0.35">
      <c r="A862" s="61"/>
      <c r="B862" s="62"/>
      <c r="C862" s="62"/>
      <c r="D862" s="62"/>
      <c r="E862" s="62"/>
      <c r="F862" s="62"/>
      <c r="G862" s="62"/>
      <c r="H862" s="62"/>
    </row>
    <row r="863" spans="1:8" x14ac:dyDescent="0.35">
      <c r="A863" s="61"/>
      <c r="B863" s="62"/>
      <c r="C863" s="62"/>
      <c r="D863" s="62"/>
      <c r="E863" s="62"/>
      <c r="F863" s="62"/>
      <c r="G863" s="62"/>
      <c r="H863" s="62"/>
    </row>
    <row r="864" spans="1:8" x14ac:dyDescent="0.35">
      <c r="A864" s="61"/>
      <c r="B864" s="62"/>
      <c r="C864" s="62"/>
      <c r="D864" s="62"/>
      <c r="E864" s="62"/>
      <c r="F864" s="62"/>
      <c r="G864" s="62"/>
      <c r="H864" s="62"/>
    </row>
    <row r="865" spans="1:8" x14ac:dyDescent="0.35">
      <c r="A865" s="61"/>
      <c r="B865" s="62"/>
      <c r="C865" s="62"/>
      <c r="D865" s="62"/>
      <c r="E865" s="62"/>
      <c r="F865" s="62"/>
      <c r="G865" s="62"/>
      <c r="H865" s="62"/>
    </row>
    <row r="866" spans="1:8" x14ac:dyDescent="0.35">
      <c r="A866" s="61"/>
      <c r="B866" s="62"/>
      <c r="C866" s="62"/>
      <c r="D866" s="62"/>
      <c r="E866" s="62"/>
      <c r="F866" s="62"/>
      <c r="G866" s="62"/>
      <c r="H866" s="62"/>
    </row>
    <row r="867" spans="1:8" x14ac:dyDescent="0.35">
      <c r="A867" s="61"/>
      <c r="B867" s="62"/>
      <c r="C867" s="62"/>
      <c r="D867" s="62"/>
      <c r="E867" s="62"/>
      <c r="F867" s="62"/>
      <c r="G867" s="62"/>
      <c r="H867" s="62"/>
    </row>
    <row r="868" spans="1:8" x14ac:dyDescent="0.35">
      <c r="A868" s="61"/>
      <c r="B868" s="62"/>
      <c r="C868" s="62"/>
      <c r="D868" s="62"/>
      <c r="E868" s="62"/>
      <c r="F868" s="62"/>
      <c r="G868" s="62"/>
      <c r="H868" s="62"/>
    </row>
    <row r="869" spans="1:8" x14ac:dyDescent="0.35">
      <c r="A869" s="61"/>
      <c r="B869" s="62"/>
      <c r="C869" s="62"/>
      <c r="D869" s="62"/>
      <c r="E869" s="62"/>
      <c r="F869" s="62"/>
      <c r="G869" s="62"/>
      <c r="H869" s="62"/>
    </row>
    <row r="870" spans="1:8" x14ac:dyDescent="0.35">
      <c r="A870" s="61"/>
      <c r="B870" s="62"/>
      <c r="C870" s="62"/>
      <c r="D870" s="62"/>
      <c r="E870" s="62"/>
      <c r="F870" s="62"/>
      <c r="G870" s="62"/>
      <c r="H870" s="62"/>
    </row>
    <row r="871" spans="1:8" x14ac:dyDescent="0.35">
      <c r="A871" s="61"/>
      <c r="B871" s="62"/>
      <c r="C871" s="62"/>
      <c r="D871" s="62"/>
      <c r="E871" s="62"/>
      <c r="F871" s="62"/>
      <c r="G871" s="62"/>
      <c r="H871" s="62"/>
    </row>
    <row r="872" spans="1:8" x14ac:dyDescent="0.35">
      <c r="A872" s="61"/>
      <c r="B872" s="62"/>
      <c r="C872" s="62"/>
      <c r="D872" s="62"/>
      <c r="E872" s="62"/>
      <c r="F872" s="62"/>
      <c r="G872" s="62"/>
      <c r="H872" s="62"/>
    </row>
    <row r="873" spans="1:8" x14ac:dyDescent="0.35">
      <c r="A873" s="61"/>
      <c r="B873" s="62"/>
      <c r="C873" s="62"/>
      <c r="D873" s="62"/>
      <c r="E873" s="62"/>
      <c r="F873" s="62"/>
      <c r="G873" s="62"/>
      <c r="H873" s="62"/>
    </row>
    <row r="874" spans="1:8" x14ac:dyDescent="0.35">
      <c r="A874" s="61"/>
      <c r="B874" s="62"/>
      <c r="C874" s="62"/>
      <c r="D874" s="62"/>
      <c r="E874" s="62"/>
      <c r="F874" s="62"/>
      <c r="G874" s="62"/>
      <c r="H874" s="62"/>
    </row>
    <row r="875" spans="1:8" x14ac:dyDescent="0.35">
      <c r="A875" s="61"/>
      <c r="B875" s="62"/>
      <c r="C875" s="62"/>
      <c r="D875" s="62"/>
      <c r="E875" s="62"/>
      <c r="F875" s="62"/>
      <c r="G875" s="62"/>
      <c r="H875" s="62"/>
    </row>
    <row r="876" spans="1:8" x14ac:dyDescent="0.35">
      <c r="A876" s="61"/>
      <c r="B876" s="62"/>
      <c r="C876" s="62"/>
      <c r="D876" s="62"/>
      <c r="E876" s="62"/>
      <c r="F876" s="62"/>
      <c r="G876" s="62"/>
      <c r="H876" s="62"/>
    </row>
    <row r="877" spans="1:8" x14ac:dyDescent="0.35">
      <c r="A877" s="61"/>
      <c r="B877" s="62"/>
      <c r="C877" s="62"/>
      <c r="D877" s="62"/>
      <c r="E877" s="62"/>
      <c r="F877" s="62"/>
      <c r="G877" s="62"/>
      <c r="H877" s="62"/>
    </row>
    <row r="878" spans="1:8" x14ac:dyDescent="0.35">
      <c r="A878" s="61"/>
      <c r="B878" s="62"/>
      <c r="C878" s="62"/>
      <c r="D878" s="62"/>
      <c r="E878" s="62"/>
      <c r="F878" s="62"/>
      <c r="G878" s="62"/>
      <c r="H878" s="62"/>
    </row>
    <row r="879" spans="1:8" x14ac:dyDescent="0.35">
      <c r="A879" s="61"/>
      <c r="B879" s="62"/>
      <c r="C879" s="62"/>
      <c r="D879" s="62"/>
      <c r="E879" s="62"/>
      <c r="F879" s="62"/>
      <c r="G879" s="62"/>
      <c r="H879" s="62"/>
    </row>
    <row r="880" spans="1:8" x14ac:dyDescent="0.35">
      <c r="A880" s="61"/>
      <c r="B880" s="62"/>
      <c r="C880" s="62"/>
      <c r="D880" s="62"/>
      <c r="E880" s="62"/>
      <c r="F880" s="62"/>
      <c r="G880" s="62"/>
      <c r="H880" s="62"/>
    </row>
    <row r="881" spans="1:8" x14ac:dyDescent="0.35">
      <c r="A881" s="61"/>
      <c r="B881" s="62"/>
      <c r="C881" s="62"/>
      <c r="D881" s="62"/>
      <c r="E881" s="62"/>
      <c r="F881" s="62"/>
      <c r="G881" s="62"/>
      <c r="H881" s="62"/>
    </row>
    <row r="882" spans="1:8" x14ac:dyDescent="0.35">
      <c r="A882" s="61"/>
      <c r="B882" s="62"/>
      <c r="C882" s="62"/>
      <c r="D882" s="62"/>
      <c r="E882" s="62"/>
      <c r="F882" s="62"/>
      <c r="G882" s="62"/>
      <c r="H882" s="62"/>
    </row>
    <row r="883" spans="1:8" x14ac:dyDescent="0.35">
      <c r="A883" s="61"/>
      <c r="B883" s="62"/>
      <c r="C883" s="62"/>
      <c r="D883" s="62"/>
      <c r="E883" s="62"/>
      <c r="F883" s="62"/>
      <c r="G883" s="62"/>
      <c r="H883" s="62"/>
    </row>
    <row r="884" spans="1:8" x14ac:dyDescent="0.35">
      <c r="A884" s="61"/>
      <c r="B884" s="62"/>
      <c r="C884" s="62"/>
      <c r="D884" s="62"/>
      <c r="E884" s="62"/>
      <c r="F884" s="62"/>
      <c r="G884" s="62"/>
      <c r="H884" s="62"/>
    </row>
    <row r="885" spans="1:8" x14ac:dyDescent="0.35">
      <c r="A885" s="61"/>
      <c r="B885" s="62"/>
      <c r="C885" s="62"/>
      <c r="D885" s="62"/>
      <c r="E885" s="62"/>
      <c r="F885" s="62"/>
      <c r="G885" s="62"/>
      <c r="H885" s="62"/>
    </row>
    <row r="886" spans="1:8" x14ac:dyDescent="0.35">
      <c r="A886" s="61"/>
      <c r="B886" s="62"/>
      <c r="C886" s="62"/>
      <c r="D886" s="62"/>
      <c r="E886" s="62"/>
      <c r="F886" s="62"/>
      <c r="G886" s="62"/>
      <c r="H886" s="62"/>
    </row>
    <row r="887" spans="1:8" x14ac:dyDescent="0.35">
      <c r="A887" s="61"/>
      <c r="B887" s="62"/>
      <c r="C887" s="62"/>
      <c r="D887" s="62"/>
      <c r="E887" s="62"/>
      <c r="F887" s="62"/>
      <c r="G887" s="62"/>
      <c r="H887" s="62"/>
    </row>
    <row r="888" spans="1:8" x14ac:dyDescent="0.35">
      <c r="A888" s="61"/>
      <c r="B888" s="62"/>
      <c r="C888" s="62"/>
      <c r="D888" s="62"/>
      <c r="E888" s="62"/>
      <c r="F888" s="62"/>
      <c r="G888" s="62"/>
      <c r="H888" s="62"/>
    </row>
    <row r="889" spans="1:8" x14ac:dyDescent="0.35">
      <c r="A889" s="61"/>
      <c r="B889" s="62"/>
      <c r="C889" s="62"/>
      <c r="D889" s="62"/>
      <c r="E889" s="62"/>
      <c r="F889" s="62"/>
      <c r="G889" s="62"/>
      <c r="H889" s="62"/>
    </row>
    <row r="890" spans="1:8" x14ac:dyDescent="0.35">
      <c r="A890" s="61"/>
      <c r="B890" s="62"/>
      <c r="C890" s="62"/>
      <c r="D890" s="62"/>
      <c r="E890" s="62"/>
      <c r="F890" s="62"/>
      <c r="G890" s="62"/>
      <c r="H890" s="62"/>
    </row>
    <row r="891" spans="1:8" x14ac:dyDescent="0.35">
      <c r="A891" s="61"/>
      <c r="B891" s="62"/>
      <c r="C891" s="62"/>
      <c r="D891" s="62"/>
      <c r="E891" s="62"/>
      <c r="F891" s="62"/>
      <c r="G891" s="62"/>
      <c r="H891" s="62"/>
    </row>
    <row r="892" spans="1:8" x14ac:dyDescent="0.35">
      <c r="A892" s="61"/>
      <c r="B892" s="62"/>
      <c r="C892" s="62"/>
      <c r="D892" s="62"/>
      <c r="E892" s="62"/>
      <c r="F892" s="62"/>
      <c r="G892" s="62"/>
      <c r="H892" s="62"/>
    </row>
    <row r="893" spans="1:8" x14ac:dyDescent="0.35">
      <c r="A893" s="61"/>
      <c r="B893" s="62"/>
      <c r="C893" s="62"/>
      <c r="D893" s="62"/>
      <c r="E893" s="62"/>
      <c r="F893" s="62"/>
      <c r="G893" s="62"/>
      <c r="H893" s="62"/>
    </row>
    <row r="894" spans="1:8" x14ac:dyDescent="0.35">
      <c r="A894" s="61"/>
      <c r="B894" s="62"/>
      <c r="C894" s="62"/>
      <c r="D894" s="62"/>
      <c r="E894" s="62"/>
      <c r="F894" s="62"/>
      <c r="G894" s="62"/>
      <c r="H894" s="62"/>
    </row>
    <row r="895" spans="1:8" x14ac:dyDescent="0.35">
      <c r="A895" s="61"/>
      <c r="B895" s="62"/>
      <c r="C895" s="62"/>
      <c r="D895" s="62"/>
      <c r="E895" s="62"/>
      <c r="F895" s="62"/>
      <c r="G895" s="62"/>
      <c r="H895" s="62"/>
    </row>
    <row r="896" spans="1:8" x14ac:dyDescent="0.35">
      <c r="A896" s="61"/>
      <c r="B896" s="62"/>
      <c r="C896" s="62"/>
      <c r="D896" s="62"/>
      <c r="E896" s="62"/>
      <c r="F896" s="62"/>
      <c r="G896" s="62"/>
      <c r="H896" s="62"/>
    </row>
    <row r="897" spans="1:8" x14ac:dyDescent="0.35">
      <c r="A897" s="61"/>
      <c r="B897" s="62"/>
      <c r="C897" s="62"/>
      <c r="D897" s="62"/>
      <c r="E897" s="62"/>
      <c r="F897" s="62"/>
      <c r="G897" s="62"/>
      <c r="H897" s="62"/>
    </row>
    <row r="898" spans="1:8" x14ac:dyDescent="0.35">
      <c r="A898" s="61"/>
      <c r="B898" s="62"/>
      <c r="C898" s="62"/>
      <c r="D898" s="62"/>
      <c r="E898" s="62"/>
      <c r="F898" s="62"/>
      <c r="G898" s="62"/>
      <c r="H898" s="62"/>
    </row>
    <row r="899" spans="1:8" x14ac:dyDescent="0.35">
      <c r="A899" s="61"/>
      <c r="B899" s="62"/>
      <c r="C899" s="62"/>
      <c r="D899" s="62"/>
      <c r="E899" s="62"/>
      <c r="F899" s="62"/>
      <c r="G899" s="62"/>
      <c r="H899" s="62"/>
    </row>
    <row r="900" spans="1:8" x14ac:dyDescent="0.35">
      <c r="A900" s="61"/>
      <c r="B900" s="62"/>
      <c r="C900" s="62"/>
      <c r="D900" s="62"/>
      <c r="E900" s="62"/>
      <c r="F900" s="62"/>
      <c r="G900" s="62"/>
      <c r="H900" s="62"/>
    </row>
    <row r="901" spans="1:8" x14ac:dyDescent="0.35">
      <c r="A901" s="61"/>
      <c r="B901" s="62"/>
      <c r="C901" s="62"/>
      <c r="D901" s="62"/>
      <c r="E901" s="62"/>
      <c r="F901" s="62"/>
      <c r="G901" s="62"/>
      <c r="H901" s="62"/>
    </row>
    <row r="902" spans="1:8" x14ac:dyDescent="0.35">
      <c r="A902" s="61"/>
      <c r="B902" s="62"/>
      <c r="C902" s="62"/>
      <c r="D902" s="62"/>
      <c r="E902" s="62"/>
      <c r="F902" s="62"/>
      <c r="G902" s="62"/>
      <c r="H902" s="62"/>
    </row>
    <row r="903" spans="1:8" x14ac:dyDescent="0.35">
      <c r="A903" s="61"/>
      <c r="B903" s="62"/>
      <c r="C903" s="62"/>
      <c r="D903" s="62"/>
      <c r="E903" s="62"/>
      <c r="F903" s="62"/>
      <c r="G903" s="62"/>
      <c r="H903" s="62"/>
    </row>
    <row r="904" spans="1:8" x14ac:dyDescent="0.35">
      <c r="A904" s="61"/>
      <c r="B904" s="62"/>
      <c r="C904" s="62"/>
      <c r="D904" s="62"/>
      <c r="E904" s="62"/>
      <c r="F904" s="62"/>
      <c r="G904" s="62"/>
      <c r="H904" s="62"/>
    </row>
    <row r="905" spans="1:8" x14ac:dyDescent="0.35">
      <c r="A905" s="61"/>
      <c r="B905" s="62"/>
      <c r="C905" s="62"/>
      <c r="D905" s="62"/>
      <c r="E905" s="62"/>
      <c r="F905" s="62"/>
      <c r="G905" s="62"/>
      <c r="H905" s="62"/>
    </row>
    <row r="906" spans="1:8" x14ac:dyDescent="0.35">
      <c r="A906" s="61"/>
      <c r="B906" s="62"/>
      <c r="C906" s="62"/>
      <c r="D906" s="62"/>
      <c r="E906" s="62"/>
      <c r="F906" s="62"/>
      <c r="G906" s="62"/>
      <c r="H906" s="62"/>
    </row>
    <row r="907" spans="1:8" x14ac:dyDescent="0.35">
      <c r="A907" s="61"/>
      <c r="B907" s="62"/>
      <c r="C907" s="62"/>
      <c r="D907" s="62"/>
      <c r="E907" s="62"/>
      <c r="F907" s="62"/>
      <c r="G907" s="62"/>
      <c r="H907" s="62"/>
    </row>
    <row r="908" spans="1:8" x14ac:dyDescent="0.35">
      <c r="A908" s="61"/>
      <c r="B908" s="62"/>
      <c r="C908" s="62"/>
      <c r="D908" s="62"/>
      <c r="E908" s="62"/>
      <c r="F908" s="62"/>
      <c r="G908" s="62"/>
      <c r="H908" s="62"/>
    </row>
    <row r="909" spans="1:8" x14ac:dyDescent="0.35">
      <c r="A909" s="61"/>
      <c r="B909" s="62"/>
      <c r="C909" s="62"/>
      <c r="D909" s="62"/>
      <c r="E909" s="62"/>
      <c r="F909" s="62"/>
      <c r="G909" s="62"/>
      <c r="H909" s="62"/>
    </row>
    <row r="910" spans="1:8" x14ac:dyDescent="0.35">
      <c r="A910" s="61"/>
      <c r="B910" s="62"/>
      <c r="C910" s="62"/>
      <c r="D910" s="62"/>
      <c r="E910" s="62"/>
      <c r="F910" s="62"/>
      <c r="G910" s="62"/>
      <c r="H910" s="62"/>
    </row>
    <row r="911" spans="1:8" x14ac:dyDescent="0.35">
      <c r="A911" s="61"/>
      <c r="B911" s="62"/>
      <c r="C911" s="62"/>
      <c r="D911" s="62"/>
      <c r="E911" s="62"/>
      <c r="F911" s="62"/>
      <c r="G911" s="62"/>
      <c r="H911" s="62"/>
    </row>
    <row r="912" spans="1:8" x14ac:dyDescent="0.35">
      <c r="A912" s="61"/>
      <c r="B912" s="62"/>
      <c r="C912" s="62"/>
      <c r="D912" s="62"/>
      <c r="E912" s="62"/>
      <c r="F912" s="62"/>
      <c r="G912" s="62"/>
      <c r="H912" s="62"/>
    </row>
    <row r="913" spans="1:8" x14ac:dyDescent="0.35">
      <c r="A913" s="61"/>
      <c r="B913" s="62"/>
      <c r="C913" s="62"/>
      <c r="D913" s="62"/>
      <c r="E913" s="62"/>
      <c r="F913" s="62"/>
      <c r="G913" s="62"/>
      <c r="H913" s="62"/>
    </row>
    <row r="914" spans="1:8" x14ac:dyDescent="0.35">
      <c r="A914" s="61"/>
      <c r="B914" s="62"/>
      <c r="C914" s="62"/>
      <c r="D914" s="62"/>
      <c r="E914" s="62"/>
      <c r="F914" s="62"/>
      <c r="G914" s="62"/>
      <c r="H914" s="62"/>
    </row>
    <row r="915" spans="1:8" x14ac:dyDescent="0.35">
      <c r="A915" s="61"/>
      <c r="B915" s="62"/>
      <c r="C915" s="62"/>
      <c r="D915" s="62"/>
      <c r="E915" s="62"/>
      <c r="F915" s="62"/>
      <c r="G915" s="62"/>
      <c r="H915" s="62"/>
    </row>
    <row r="916" spans="1:8" x14ac:dyDescent="0.35">
      <c r="A916" s="61"/>
      <c r="B916" s="62"/>
      <c r="C916" s="62"/>
      <c r="D916" s="62"/>
      <c r="E916" s="62"/>
      <c r="F916" s="62"/>
      <c r="G916" s="62"/>
      <c r="H916" s="62"/>
    </row>
    <row r="917" spans="1:8" x14ac:dyDescent="0.35">
      <c r="A917" s="61"/>
      <c r="B917" s="62"/>
      <c r="C917" s="62"/>
      <c r="D917" s="62"/>
      <c r="E917" s="62"/>
      <c r="F917" s="62"/>
      <c r="G917" s="62"/>
      <c r="H917" s="62"/>
    </row>
    <row r="918" spans="1:8" x14ac:dyDescent="0.35">
      <c r="A918" s="61"/>
      <c r="B918" s="62"/>
      <c r="C918" s="62"/>
      <c r="D918" s="62"/>
      <c r="E918" s="62"/>
      <c r="F918" s="62"/>
      <c r="G918" s="62"/>
      <c r="H918" s="62"/>
    </row>
    <row r="919" spans="1:8" x14ac:dyDescent="0.35">
      <c r="A919" s="61"/>
      <c r="B919" s="62"/>
      <c r="C919" s="62"/>
      <c r="D919" s="62"/>
      <c r="E919" s="62"/>
      <c r="F919" s="62"/>
      <c r="G919" s="62"/>
      <c r="H919" s="62"/>
    </row>
    <row r="920" spans="1:8" x14ac:dyDescent="0.35">
      <c r="A920" s="61"/>
      <c r="B920" s="62"/>
      <c r="C920" s="62"/>
      <c r="D920" s="62"/>
      <c r="E920" s="62"/>
      <c r="F920" s="62"/>
      <c r="G920" s="62"/>
      <c r="H920" s="62"/>
    </row>
    <row r="921" spans="1:8" x14ac:dyDescent="0.35">
      <c r="A921" s="61"/>
      <c r="B921" s="62"/>
      <c r="C921" s="62"/>
      <c r="D921" s="62"/>
      <c r="E921" s="62"/>
      <c r="F921" s="62"/>
      <c r="G921" s="62"/>
      <c r="H921" s="62"/>
    </row>
    <row r="922" spans="1:8" x14ac:dyDescent="0.35">
      <c r="A922" s="61"/>
      <c r="B922" s="62"/>
      <c r="C922" s="62"/>
      <c r="D922" s="62"/>
      <c r="E922" s="62"/>
      <c r="F922" s="62"/>
      <c r="G922" s="62"/>
      <c r="H922" s="62"/>
    </row>
    <row r="923" spans="1:8" x14ac:dyDescent="0.35">
      <c r="A923" s="61"/>
      <c r="B923" s="62"/>
      <c r="C923" s="62"/>
      <c r="D923" s="62"/>
      <c r="E923" s="62"/>
      <c r="F923" s="62"/>
      <c r="G923" s="62"/>
      <c r="H923" s="62"/>
    </row>
    <row r="924" spans="1:8" x14ac:dyDescent="0.35">
      <c r="A924" s="61"/>
      <c r="B924" s="62"/>
      <c r="C924" s="62"/>
      <c r="D924" s="62"/>
      <c r="E924" s="62"/>
      <c r="F924" s="62"/>
      <c r="G924" s="62"/>
      <c r="H924" s="62"/>
    </row>
    <row r="925" spans="1:8" x14ac:dyDescent="0.35">
      <c r="A925" s="61"/>
      <c r="B925" s="62"/>
      <c r="C925" s="62"/>
      <c r="D925" s="62"/>
      <c r="E925" s="62"/>
      <c r="F925" s="62"/>
      <c r="G925" s="62"/>
      <c r="H925" s="62"/>
    </row>
    <row r="926" spans="1:8" x14ac:dyDescent="0.35">
      <c r="A926" s="61"/>
      <c r="B926" s="62"/>
      <c r="C926" s="62"/>
      <c r="D926" s="62"/>
      <c r="E926" s="62"/>
      <c r="F926" s="62"/>
      <c r="G926" s="62"/>
      <c r="H926" s="62"/>
    </row>
    <row r="927" spans="1:8" x14ac:dyDescent="0.35">
      <c r="A927" s="61"/>
      <c r="B927" s="62"/>
      <c r="C927" s="62"/>
      <c r="D927" s="62"/>
      <c r="E927" s="62"/>
      <c r="F927" s="62"/>
      <c r="G927" s="62"/>
      <c r="H927" s="62"/>
    </row>
    <row r="928" spans="1:8" x14ac:dyDescent="0.35">
      <c r="A928" s="61"/>
      <c r="B928" s="62"/>
      <c r="C928" s="62"/>
      <c r="D928" s="62"/>
      <c r="E928" s="62"/>
      <c r="F928" s="62"/>
      <c r="G928" s="62"/>
      <c r="H928" s="62"/>
    </row>
    <row r="929" spans="1:8" x14ac:dyDescent="0.35">
      <c r="A929" s="61"/>
      <c r="B929" s="62"/>
      <c r="C929" s="62"/>
      <c r="D929" s="62"/>
      <c r="E929" s="62"/>
      <c r="F929" s="62"/>
      <c r="G929" s="62"/>
      <c r="H929" s="62"/>
    </row>
    <row r="930" spans="1:8" x14ac:dyDescent="0.35">
      <c r="A930" s="61"/>
      <c r="B930" s="62"/>
      <c r="C930" s="62"/>
      <c r="D930" s="62"/>
      <c r="E930" s="62"/>
      <c r="F930" s="62"/>
      <c r="G930" s="62"/>
      <c r="H930" s="62"/>
    </row>
    <row r="931" spans="1:8" x14ac:dyDescent="0.35">
      <c r="A931" s="61"/>
      <c r="B931" s="62"/>
      <c r="C931" s="62"/>
      <c r="D931" s="62"/>
      <c r="E931" s="62"/>
      <c r="F931" s="62"/>
      <c r="G931" s="62"/>
      <c r="H931" s="62"/>
    </row>
    <row r="932" spans="1:8" x14ac:dyDescent="0.35">
      <c r="A932" s="61"/>
      <c r="B932" s="62"/>
      <c r="C932" s="62"/>
      <c r="D932" s="62"/>
      <c r="E932" s="62"/>
      <c r="F932" s="62"/>
      <c r="G932" s="62"/>
      <c r="H932" s="62"/>
    </row>
    <row r="933" spans="1:8" x14ac:dyDescent="0.35">
      <c r="A933" s="61"/>
      <c r="B933" s="62"/>
      <c r="C933" s="62"/>
      <c r="D933" s="62"/>
      <c r="E933" s="62"/>
      <c r="F933" s="62"/>
      <c r="G933" s="62"/>
      <c r="H933" s="62"/>
    </row>
    <row r="934" spans="1:8" x14ac:dyDescent="0.35">
      <c r="A934" s="61"/>
      <c r="B934" s="62"/>
      <c r="C934" s="62"/>
      <c r="D934" s="62"/>
      <c r="E934" s="62"/>
      <c r="F934" s="62"/>
      <c r="G934" s="62"/>
      <c r="H934" s="62"/>
    </row>
    <row r="935" spans="1:8" x14ac:dyDescent="0.35">
      <c r="A935" s="61"/>
      <c r="B935" s="62"/>
      <c r="C935" s="62"/>
      <c r="D935" s="62"/>
      <c r="E935" s="62"/>
      <c r="F935" s="62"/>
      <c r="G935" s="62"/>
      <c r="H935" s="62"/>
    </row>
    <row r="936" spans="1:8" x14ac:dyDescent="0.35">
      <c r="A936" s="61"/>
      <c r="B936" s="62"/>
      <c r="C936" s="62"/>
      <c r="D936" s="62"/>
      <c r="E936" s="62"/>
      <c r="F936" s="62"/>
      <c r="G936" s="62"/>
      <c r="H936" s="62"/>
    </row>
    <row r="937" spans="1:8" x14ac:dyDescent="0.35">
      <c r="A937" s="61"/>
      <c r="B937" s="62"/>
      <c r="C937" s="62"/>
      <c r="D937" s="62"/>
      <c r="E937" s="62"/>
      <c r="F937" s="62"/>
      <c r="G937" s="62"/>
      <c r="H937" s="62"/>
    </row>
    <row r="938" spans="1:8" x14ac:dyDescent="0.35">
      <c r="A938" s="61"/>
      <c r="B938" s="62"/>
      <c r="C938" s="62"/>
      <c r="D938" s="62"/>
      <c r="E938" s="62"/>
      <c r="F938" s="62"/>
      <c r="G938" s="62"/>
      <c r="H938" s="62"/>
    </row>
    <row r="939" spans="1:8" x14ac:dyDescent="0.35">
      <c r="A939" s="61"/>
      <c r="B939" s="62"/>
      <c r="C939" s="62"/>
      <c r="D939" s="62"/>
      <c r="E939" s="62"/>
      <c r="F939" s="62"/>
      <c r="G939" s="62"/>
      <c r="H939" s="62"/>
    </row>
    <row r="940" spans="1:8" x14ac:dyDescent="0.35">
      <c r="A940" s="61"/>
      <c r="B940" s="62"/>
      <c r="C940" s="62"/>
      <c r="D940" s="62"/>
      <c r="E940" s="62"/>
      <c r="F940" s="62"/>
      <c r="G940" s="62"/>
      <c r="H940" s="62"/>
    </row>
    <row r="941" spans="1:8" x14ac:dyDescent="0.35">
      <c r="A941" s="61"/>
      <c r="B941" s="62"/>
      <c r="C941" s="62"/>
      <c r="D941" s="62"/>
      <c r="E941" s="62"/>
      <c r="F941" s="62"/>
      <c r="G941" s="62"/>
      <c r="H941" s="62"/>
    </row>
    <row r="942" spans="1:8" x14ac:dyDescent="0.35">
      <c r="A942" s="61"/>
      <c r="B942" s="62"/>
      <c r="C942" s="62"/>
      <c r="D942" s="62"/>
      <c r="E942" s="62"/>
      <c r="F942" s="62"/>
      <c r="G942" s="62"/>
      <c r="H942" s="62"/>
    </row>
    <row r="943" spans="1:8" x14ac:dyDescent="0.35">
      <c r="A943" s="61"/>
      <c r="B943" s="62"/>
      <c r="C943" s="62"/>
      <c r="D943" s="62"/>
      <c r="E943" s="62"/>
      <c r="F943" s="62"/>
      <c r="G943" s="62"/>
      <c r="H943" s="62"/>
    </row>
    <row r="944" spans="1:8" x14ac:dyDescent="0.35">
      <c r="A944" s="61"/>
      <c r="B944" s="62"/>
      <c r="C944" s="62"/>
      <c r="D944" s="62"/>
      <c r="E944" s="62"/>
      <c r="F944" s="62"/>
      <c r="G944" s="62"/>
      <c r="H944" s="62"/>
    </row>
    <row r="945" spans="1:8" x14ac:dyDescent="0.35">
      <c r="A945" s="61"/>
      <c r="B945" s="62"/>
      <c r="C945" s="62"/>
      <c r="D945" s="62"/>
      <c r="E945" s="62"/>
      <c r="F945" s="62"/>
      <c r="G945" s="62"/>
      <c r="H945" s="62"/>
    </row>
    <row r="946" spans="1:8" x14ac:dyDescent="0.35">
      <c r="A946" s="61"/>
      <c r="B946" s="62"/>
      <c r="C946" s="62"/>
      <c r="D946" s="62"/>
      <c r="E946" s="62"/>
      <c r="F946" s="62"/>
      <c r="G946" s="62"/>
      <c r="H946" s="62"/>
    </row>
    <row r="947" spans="1:8" x14ac:dyDescent="0.35">
      <c r="A947" s="61"/>
      <c r="B947" s="62"/>
      <c r="C947" s="62"/>
      <c r="D947" s="62"/>
      <c r="E947" s="62"/>
      <c r="F947" s="62"/>
      <c r="G947" s="62"/>
      <c r="H947" s="62"/>
    </row>
    <row r="948" spans="1:8" x14ac:dyDescent="0.35">
      <c r="A948" s="61"/>
      <c r="B948" s="62"/>
      <c r="C948" s="62"/>
      <c r="D948" s="62"/>
      <c r="E948" s="62"/>
      <c r="F948" s="62"/>
      <c r="G948" s="62"/>
      <c r="H948" s="62"/>
    </row>
    <row r="949" spans="1:8" x14ac:dyDescent="0.35">
      <c r="A949" s="61"/>
      <c r="B949" s="62"/>
      <c r="C949" s="62"/>
      <c r="D949" s="62"/>
      <c r="E949" s="62"/>
      <c r="F949" s="62"/>
      <c r="G949" s="62"/>
      <c r="H949" s="62"/>
    </row>
    <row r="950" spans="1:8" x14ac:dyDescent="0.35">
      <c r="A950" s="61"/>
      <c r="B950" s="62"/>
      <c r="C950" s="62"/>
      <c r="D950" s="62"/>
      <c r="E950" s="62"/>
      <c r="F950" s="62"/>
      <c r="G950" s="62"/>
      <c r="H950" s="62"/>
    </row>
    <row r="951" spans="1:8" x14ac:dyDescent="0.35">
      <c r="A951" s="61"/>
      <c r="B951" s="62"/>
      <c r="C951" s="62"/>
      <c r="D951" s="62"/>
      <c r="E951" s="62"/>
      <c r="F951" s="62"/>
      <c r="G951" s="62"/>
      <c r="H951" s="62"/>
    </row>
    <row r="952" spans="1:8" x14ac:dyDescent="0.35">
      <c r="A952" s="61"/>
      <c r="B952" s="62"/>
      <c r="C952" s="62"/>
      <c r="D952" s="62"/>
      <c r="E952" s="62"/>
      <c r="F952" s="62"/>
      <c r="G952" s="62"/>
      <c r="H952" s="62"/>
    </row>
  </sheetData>
  <autoFilter ref="A1:K329" xr:uid="{E1DC5F56-11D4-4AE6-9B84-48A9B349E2D5}"/>
  <sortState xmlns:xlrd2="http://schemas.microsoft.com/office/spreadsheetml/2017/richdata2" ref="A1:K329">
    <sortCondition descending="1" sortBy="cellColor" ref="K1" dxfId="0"/>
  </sortState>
  <mergeCells count="124">
    <mergeCell ref="J167:J168"/>
    <mergeCell ref="B308:B328"/>
    <mergeCell ref="D217:D219"/>
    <mergeCell ref="D220:D226"/>
    <mergeCell ref="D255:D260"/>
    <mergeCell ref="C278:C279"/>
    <mergeCell ref="C280:C281"/>
    <mergeCell ref="C283:C286"/>
    <mergeCell ref="D283:D285"/>
    <mergeCell ref="D276:E276"/>
    <mergeCell ref="D277:E277"/>
    <mergeCell ref="C315:C326"/>
    <mergeCell ref="B278:B307"/>
    <mergeCell ref="B202:B277"/>
    <mergeCell ref="C242:C254"/>
    <mergeCell ref="C255:C266"/>
    <mergeCell ref="K184:K186"/>
    <mergeCell ref="C306:E306"/>
    <mergeCell ref="C307:E307"/>
    <mergeCell ref="C314:E314"/>
    <mergeCell ref="C328:E328"/>
    <mergeCell ref="D241:E241"/>
    <mergeCell ref="C202:C216"/>
    <mergeCell ref="C217:C233"/>
    <mergeCell ref="C234:C239"/>
    <mergeCell ref="C282:E282"/>
    <mergeCell ref="D202:D209"/>
    <mergeCell ref="D261:D266"/>
    <mergeCell ref="I25:I27"/>
    <mergeCell ref="C198:C199"/>
    <mergeCell ref="D190:D192"/>
    <mergeCell ref="H200:H201"/>
    <mergeCell ref="B188:E188"/>
    <mergeCell ref="H193:H194"/>
    <mergeCell ref="C195:E195"/>
    <mergeCell ref="C200:E200"/>
    <mergeCell ref="C201:E201"/>
    <mergeCell ref="B106:E106"/>
    <mergeCell ref="B107:E107"/>
    <mergeCell ref="A147:E147"/>
    <mergeCell ref="H169:H174"/>
    <mergeCell ref="H176:H177"/>
    <mergeCell ref="H178:H181"/>
    <mergeCell ref="F72:F73"/>
    <mergeCell ref="G72:G73"/>
    <mergeCell ref="B84:E84"/>
    <mergeCell ref="F103:F104"/>
    <mergeCell ref="G103:G104"/>
    <mergeCell ref="F48:F49"/>
    <mergeCell ref="G48:G49"/>
    <mergeCell ref="F66:F67"/>
    <mergeCell ref="G66:G67"/>
    <mergeCell ref="F33:F34"/>
    <mergeCell ref="G33:G34"/>
    <mergeCell ref="F42:F43"/>
    <mergeCell ref="G42:G43"/>
    <mergeCell ref="H5:H6"/>
    <mergeCell ref="C7:E7"/>
    <mergeCell ref="C17:E17"/>
    <mergeCell ref="C18:E18"/>
    <mergeCell ref="D8:D12"/>
    <mergeCell ref="E9:E10"/>
    <mergeCell ref="D14:D16"/>
    <mergeCell ref="C21:C24"/>
    <mergeCell ref="D22:D24"/>
    <mergeCell ref="C332:D332"/>
    <mergeCell ref="C333:D333"/>
    <mergeCell ref="C334:D334"/>
    <mergeCell ref="C335:D335"/>
    <mergeCell ref="C20:E20"/>
    <mergeCell ref="C25:E25"/>
    <mergeCell ref="C26:E26"/>
    <mergeCell ref="C27:E27"/>
    <mergeCell ref="E316:E317"/>
    <mergeCell ref="D321:D323"/>
    <mergeCell ref="E322:E323"/>
    <mergeCell ref="D324:D325"/>
    <mergeCell ref="E325:E326"/>
    <mergeCell ref="C331:D331"/>
    <mergeCell ref="C287:C305"/>
    <mergeCell ref="D287:D305"/>
    <mergeCell ref="E287:E296"/>
    <mergeCell ref="E297:E303"/>
    <mergeCell ref="C308:C309"/>
    <mergeCell ref="C310:C313"/>
    <mergeCell ref="D310:D311"/>
    <mergeCell ref="D312:D313"/>
    <mergeCell ref="D316:D320"/>
    <mergeCell ref="B108:B146"/>
    <mergeCell ref="B148:B186"/>
    <mergeCell ref="B189:B200"/>
    <mergeCell ref="C189:C192"/>
    <mergeCell ref="E190:E191"/>
    <mergeCell ref="C193:C194"/>
    <mergeCell ref="D193:D194"/>
    <mergeCell ref="C196:C197"/>
    <mergeCell ref="D196:D197"/>
    <mergeCell ref="B187:E187"/>
    <mergeCell ref="D72:D73"/>
    <mergeCell ref="E72:E73"/>
    <mergeCell ref="B85:B105"/>
    <mergeCell ref="C103:C104"/>
    <mergeCell ref="D103:D104"/>
    <mergeCell ref="E103:E104"/>
    <mergeCell ref="D42:D43"/>
    <mergeCell ref="E42:E43"/>
    <mergeCell ref="C48:C49"/>
    <mergeCell ref="D48:D49"/>
    <mergeCell ref="E48:E49"/>
    <mergeCell ref="B49:B83"/>
    <mergeCell ref="C66:C67"/>
    <mergeCell ref="D66:D67"/>
    <mergeCell ref="E66:E67"/>
    <mergeCell ref="C72:C73"/>
    <mergeCell ref="B28:B47"/>
    <mergeCell ref="C33:C34"/>
    <mergeCell ref="D33:D34"/>
    <mergeCell ref="E33:E34"/>
    <mergeCell ref="C42:C43"/>
    <mergeCell ref="B2:B24"/>
    <mergeCell ref="C2:C6"/>
    <mergeCell ref="D2:D3"/>
    <mergeCell ref="D4:D6"/>
    <mergeCell ref="C8:C16"/>
  </mergeCells>
  <hyperlinks>
    <hyperlink ref="I3" r:id="rId1" xr:uid="{5630E545-CC8D-4B0D-B4FF-17D8A4BD6454}"/>
    <hyperlink ref="I4" r:id="rId2" xr:uid="{5A513872-1674-48E0-A383-9AF1331D58CF}"/>
    <hyperlink ref="I8" r:id="rId3" xr:uid="{76C02D62-FAAD-4292-AA9F-C3DC8D1D6960}"/>
    <hyperlink ref="I9" r:id="rId4" xr:uid="{9D1F841E-9D48-4AFD-914F-7E99870C2664}"/>
    <hyperlink ref="I10" r:id="rId5" xr:uid="{83BEA931-BBBA-4AFE-A821-06652AB79A49}"/>
    <hyperlink ref="I11" r:id="rId6" xr:uid="{B797A6D0-1E65-4FCD-A6A7-D62EEE2F243B}"/>
    <hyperlink ref="I12" r:id="rId7" xr:uid="{55D2A10A-1464-43FD-9D44-FA817E3B3858}"/>
    <hyperlink ref="I13" r:id="rId8" xr:uid="{D5340480-15B1-4AC5-8A68-D6A5C684E1C2}"/>
    <hyperlink ref="I14" r:id="rId9" xr:uid="{2E2A7986-FF52-420C-98BD-8539F0F0F67B}"/>
    <hyperlink ref="I15" r:id="rId10" xr:uid="{EF4F359A-9403-4CAC-94D2-A3559936C0B5}"/>
    <hyperlink ref="I16" r:id="rId11" xr:uid="{524E0D40-DECD-4F61-A3FA-B77B4491565B}"/>
    <hyperlink ref="I19" r:id="rId12" xr:uid="{372E0332-42EB-4109-BF5F-688796B1D3F9}"/>
    <hyperlink ref="I2" r:id="rId13" xr:uid="{328F476E-69BA-4958-AEFD-A2502F4697A8}"/>
    <hyperlink ref="I21" r:id="rId14" xr:uid="{0D48ABB8-F8AB-450B-A101-22AF85503FC9}"/>
    <hyperlink ref="I22" r:id="rId15" xr:uid="{BC7BC144-1D4F-4E5A-B8B3-A693072DD966}"/>
    <hyperlink ref="I23" r:id="rId16" xr:uid="{04295894-745A-4146-B3E9-3843C5CE8A00}"/>
    <hyperlink ref="I24" r:id="rId17" xr:uid="{8587CD4B-A5CC-45BF-843D-08C37580D96E}"/>
    <hyperlink ref="I28" r:id="rId18" xr:uid="{6884F42C-42E0-4C39-9667-7ADF0258F67B}"/>
    <hyperlink ref="I29" r:id="rId19" xr:uid="{B19673C0-60CD-4F2C-8121-A29831772CB1}"/>
    <hyperlink ref="I30" r:id="rId20" xr:uid="{FC81DCEA-58BE-4236-A5AE-A6440365CDC4}"/>
    <hyperlink ref="I31" r:id="rId21" xr:uid="{717237D8-F6EC-4173-B398-5FC0F5FB4891}"/>
    <hyperlink ref="I32" r:id="rId22" xr:uid="{27C74471-45A8-4651-9FC8-E94FF51A6514}"/>
    <hyperlink ref="I33" r:id="rId23" xr:uid="{6C4A4309-C30C-421D-9C3D-4BD6E5523432}"/>
    <hyperlink ref="I34" r:id="rId24" xr:uid="{E6A89A2B-83F8-41CA-B276-E7379E0CFFF4}"/>
    <hyperlink ref="I35" r:id="rId25" xr:uid="{174F2B70-0A07-4F80-BEE1-12C236DF8FCC}"/>
    <hyperlink ref="I36" r:id="rId26" xr:uid="{B3D99C82-57AF-4A5D-B420-3165E69E9642}"/>
    <hyperlink ref="I37" r:id="rId27" xr:uid="{3831937F-D5C2-4D41-9290-801521DE790A}"/>
    <hyperlink ref="I38" r:id="rId28" xr:uid="{C691BB1D-DC0A-4285-AED2-795D00D8A621}"/>
    <hyperlink ref="I39" r:id="rId29" xr:uid="{91DCF060-7829-4CB4-8E81-BF62FAD67695}"/>
    <hyperlink ref="I40" r:id="rId30" xr:uid="{FBAAD9B8-2464-4459-85D3-56DA350195EC}"/>
    <hyperlink ref="I41" r:id="rId31" xr:uid="{30E025F7-C2DE-4B7E-8B17-6000061EC8AC}"/>
    <hyperlink ref="I42" r:id="rId32" xr:uid="{EB632E69-4B87-46F2-9FD5-543E6105B32F}"/>
    <hyperlink ref="I43" r:id="rId33" xr:uid="{7F0D1CE5-8FFB-4E8F-880A-5FDA0488D2C5}"/>
    <hyperlink ref="I44" r:id="rId34" xr:uid="{119EF016-73AF-48C6-96CC-EDC07FB8BA52}"/>
    <hyperlink ref="I45" r:id="rId35" xr:uid="{2AB29818-EA25-4FE6-92F4-6153C98CD087}"/>
    <hyperlink ref="I46" r:id="rId36" xr:uid="{9939D633-F15B-481C-B92B-F983301B51C2}"/>
    <hyperlink ref="I47" r:id="rId37" xr:uid="{4B84298D-3132-467E-B444-20E445B867B2}"/>
    <hyperlink ref="I48" r:id="rId38" xr:uid="{73769F93-5485-4B98-84F3-E1FF897BCA6F}"/>
    <hyperlink ref="I49" r:id="rId39" xr:uid="{AAB6290B-C6FE-49DA-B74C-B51EA27CF883}"/>
    <hyperlink ref="I50" r:id="rId40" xr:uid="{31850A04-846A-4276-9F15-727CC9EF7AC9}"/>
    <hyperlink ref="I51" r:id="rId41" xr:uid="{9121DC15-DD99-476A-ACA1-8114CA5FF11B}"/>
    <hyperlink ref="I52" r:id="rId42" xr:uid="{AA65C3FE-6AA5-41F7-B8A7-E51901C38572}"/>
    <hyperlink ref="I53" r:id="rId43" xr:uid="{767B7F48-A49A-44EB-AEEF-6A3C4E57B4E8}"/>
    <hyperlink ref="I55" r:id="rId44" xr:uid="{BC9E7799-4280-4375-A058-3893D631DA74}"/>
    <hyperlink ref="I54" r:id="rId45" xr:uid="{3C4F1170-EDFF-416A-835E-95B219AA542A}"/>
    <hyperlink ref="I56" r:id="rId46" xr:uid="{515DA906-439C-4973-878C-412551257832}"/>
    <hyperlink ref="I57" r:id="rId47" xr:uid="{A83D4286-196E-43E3-AE76-B64362C0DE03}"/>
    <hyperlink ref="I58" r:id="rId48" xr:uid="{1D7C4B4D-6416-4E9E-B25A-0B0258D6A9F9}"/>
    <hyperlink ref="I59" r:id="rId49" xr:uid="{0DC637EB-C44C-40CC-9316-4E626B9C4A49}"/>
    <hyperlink ref="I60" r:id="rId50" xr:uid="{5A3FF7A9-E376-4733-9B4E-A6A0C6945AFE}"/>
    <hyperlink ref="I61" r:id="rId51" xr:uid="{C0034A45-12F2-4F7A-8F7E-B4D548C416DC}"/>
    <hyperlink ref="I62" r:id="rId52" xr:uid="{8F377C49-3166-4296-A64A-DDCFFC1A4526}"/>
    <hyperlink ref="I63" r:id="rId53" xr:uid="{6587785A-C213-4051-83E9-94FDBA45E238}"/>
    <hyperlink ref="I64" r:id="rId54" xr:uid="{94B98004-0C38-477B-AAA9-6B09AC7A0B95}"/>
    <hyperlink ref="I65" r:id="rId55" xr:uid="{C3A95AB1-4D4D-4F94-9137-23B9FF07960E}"/>
    <hyperlink ref="I66" r:id="rId56" xr:uid="{285761B5-533B-489C-AA25-128D45257B33}"/>
    <hyperlink ref="I67" r:id="rId57" xr:uid="{3ACBD475-70D8-438B-9E5F-645691759EC6}"/>
    <hyperlink ref="I68" r:id="rId58" xr:uid="{48B95461-84A7-4D7A-A099-FD1FAAB2FD32}"/>
    <hyperlink ref="I69" r:id="rId59" xr:uid="{737A1CD8-B03C-4531-99B5-99784BD22497}"/>
    <hyperlink ref="I70" r:id="rId60" xr:uid="{E5F02D64-2622-49EE-8EFB-DA5352894FE7}"/>
    <hyperlink ref="I71" r:id="rId61" xr:uid="{10FC074F-3707-42F2-8A3E-58D3E31C36F8}"/>
    <hyperlink ref="I72" r:id="rId62" xr:uid="{FB4813E2-E077-4A82-A1B3-CAC1E45CA7AE}"/>
    <hyperlink ref="I73" r:id="rId63" xr:uid="{22712086-DC97-40A4-A815-D2F2462D675E}"/>
    <hyperlink ref="I74" r:id="rId64" xr:uid="{DF7732B7-EBFB-456D-9A2B-E618D8A1C393}"/>
    <hyperlink ref="I75" r:id="rId65" xr:uid="{6E795E08-9038-4DB6-B01F-2BF9CBF5C9B7}"/>
    <hyperlink ref="I76" r:id="rId66" xr:uid="{0C68FF1D-5D7B-4345-A513-DD91A9FE0BE1}"/>
    <hyperlink ref="I77" r:id="rId67" xr:uid="{1E3C8A30-E7A2-430F-89DB-2CA74EB86D4B}"/>
    <hyperlink ref="I78" r:id="rId68" xr:uid="{BFEA1516-1D5F-4479-8402-1AF050CB7BA4}"/>
    <hyperlink ref="I79" r:id="rId69" xr:uid="{E2C45A30-55A4-4785-9A35-81DFD6800A52}"/>
    <hyperlink ref="I80" r:id="rId70" xr:uid="{473E4A11-0764-4442-AC3A-ADF357D57D89}"/>
    <hyperlink ref="I81" r:id="rId71" xr:uid="{90C8B565-E4BA-44E9-BF26-6F02B2813451}"/>
    <hyperlink ref="I82" r:id="rId72" xr:uid="{EDDAD50C-09B3-4B4C-BB9F-59F3CEA94FB8}"/>
    <hyperlink ref="I83" r:id="rId73" xr:uid="{158E699B-7F31-4DD6-8956-BDCB3315E47D}"/>
    <hyperlink ref="I85" r:id="rId74" xr:uid="{BCC9F8D2-2B0E-4075-9AF2-D5A0CC62C253}"/>
    <hyperlink ref="I86" r:id="rId75" xr:uid="{771FBCCD-0776-4E95-B726-E059FDD6587E}"/>
    <hyperlink ref="I87" r:id="rId76" xr:uid="{8B3DB306-B14C-48A0-AC92-5B4707CE59D1}"/>
    <hyperlink ref="I88" r:id="rId77" xr:uid="{D37E9339-A7CE-4D92-A023-A633592BE9F3}"/>
    <hyperlink ref="I89" r:id="rId78" xr:uid="{287D2757-9074-4D7A-929F-E5EF9497635F}"/>
    <hyperlink ref="I90" r:id="rId79" xr:uid="{0805D059-16AF-4F17-B0A2-9FD06785D5AB}"/>
    <hyperlink ref="I91" r:id="rId80" xr:uid="{B1E5F653-572A-4C31-B647-8EEADCB71B46}"/>
    <hyperlink ref="I93" r:id="rId81" xr:uid="{3BA92F67-D18B-4A80-B59A-4E3123862BE0}"/>
    <hyperlink ref="I94" r:id="rId82" xr:uid="{4F7C5168-8D7F-4B75-8DA8-ADD605D93FFC}"/>
    <hyperlink ref="I95" r:id="rId83" xr:uid="{830599F1-518F-4562-9210-C3024DF5FC69}"/>
    <hyperlink ref="I96" r:id="rId84" xr:uid="{E23A2D15-6CDB-4F81-820F-7831BC83076D}"/>
    <hyperlink ref="I97" r:id="rId85" xr:uid="{7ADD4CED-F636-4AE4-8351-9E2E1AE9EFD1}"/>
    <hyperlink ref="I98" r:id="rId86" xr:uid="{68568308-E86B-42C1-9D8E-05E4D69B304A}"/>
    <hyperlink ref="I99" r:id="rId87" xr:uid="{813B70E6-7DEE-444B-ADE4-9D8744B9CC8E}"/>
    <hyperlink ref="I100" r:id="rId88" xr:uid="{CD4457FF-A6AA-4ED4-B10D-5FED79A26B3C}"/>
    <hyperlink ref="I101" r:id="rId89" xr:uid="{7025E7E0-4BD7-4177-9647-2E89AF220304}"/>
    <hyperlink ref="I102" r:id="rId90" xr:uid="{76D37BFD-9703-456A-8E93-7322D204C6E4}"/>
    <hyperlink ref="I105" r:id="rId91" xr:uid="{81694A88-3196-494D-AD86-FED0FE617D5A}"/>
    <hyperlink ref="I103" r:id="rId92" xr:uid="{87646D6D-054A-407A-A308-92467E288AD0}"/>
    <hyperlink ref="I104" r:id="rId93" xr:uid="{BB213C35-2ADF-4BC0-A3AA-0557F02FF015}"/>
    <hyperlink ref="I115" r:id="rId94" xr:uid="{6D2888E3-D4C6-4A4D-8E15-B9D34B695210}"/>
    <hyperlink ref="I116" r:id="rId95" xr:uid="{0E01F3D7-8F0A-4C12-AC1A-07221AD1F322}"/>
    <hyperlink ref="I117" r:id="rId96" xr:uid="{E03DA00A-0C50-47D6-9E0F-4E736A6EA15F}"/>
    <hyperlink ref="I118" r:id="rId97" xr:uid="{2AA98E03-30BD-47E3-BF2C-D2049B67F01D}"/>
    <hyperlink ref="I150" r:id="rId98" xr:uid="{88793011-F3B3-455E-8E66-55E0D0862ED4}"/>
    <hyperlink ref="I189" r:id="rId99" xr:uid="{C1605190-A0F2-4C04-817C-0BCBFA6B76AA}"/>
    <hyperlink ref="I190" r:id="rId100" xr:uid="{B77A07F2-5C97-4B86-ACC6-BC44AFD589C9}"/>
    <hyperlink ref="I191" r:id="rId101" xr:uid="{EF5D755F-101E-4AF9-9EA8-AAD57398C315}"/>
    <hyperlink ref="I192" r:id="rId102" xr:uid="{8AF184A8-15FD-4956-A9F7-BD91125CE55A}"/>
    <hyperlink ref="I196" r:id="rId103" xr:uid="{DFB06006-0E46-420F-B0E8-5E18313C6181}"/>
    <hyperlink ref="I197" r:id="rId104" xr:uid="{A40765F7-B232-4DD3-A7D8-9E497CE40661}"/>
    <hyperlink ref="I198" r:id="rId105" xr:uid="{D557F978-FFFE-4E22-B090-DDBD42CD43A5}"/>
    <hyperlink ref="I202" r:id="rId106" xr:uid="{8C16C964-540D-45F9-823C-82EF6E1897D1}"/>
    <hyperlink ref="I203" r:id="rId107" xr:uid="{B95C9CDD-064C-4C48-8364-DC433CE4888C}"/>
    <hyperlink ref="I204" r:id="rId108" xr:uid="{F7ED26C0-DBF9-46DD-98E9-C21AF7377B40}"/>
    <hyperlink ref="I205" r:id="rId109" xr:uid="{AA58F863-2DC3-4684-915A-6994DAC0C528}"/>
    <hyperlink ref="I206" r:id="rId110" xr:uid="{3525BB85-B1B7-4B42-A4D3-891191B91ABB}"/>
    <hyperlink ref="I208" r:id="rId111" xr:uid="{68F92F25-E051-4220-A5EC-0153DA1C452C}"/>
    <hyperlink ref="I209" r:id="rId112" xr:uid="{F4CE2BF3-1327-41EC-A23C-16F03B114C7C}"/>
    <hyperlink ref="I212" r:id="rId113" xr:uid="{7D9B224D-EAF2-43F1-8E09-0A5817DC68CA}"/>
    <hyperlink ref="I213" r:id="rId114" xr:uid="{EA1C78EC-1553-444E-BEBB-1C89EF4BF2B2}"/>
    <hyperlink ref="I214" r:id="rId115" xr:uid="{C551D81D-2D77-4572-8FEF-D8F81FB07299}"/>
    <hyperlink ref="I215" r:id="rId116" xr:uid="{FDB36E59-077D-44ED-A2D3-1F8030BE8838}"/>
    <hyperlink ref="I218" r:id="rId117" xr:uid="{69E277CB-BFF3-4369-B2B3-CB6DF7975E41}"/>
    <hyperlink ref="I219" r:id="rId118" xr:uid="{FCD1C834-D8F5-47D7-A92E-26A6E267129A}"/>
    <hyperlink ref="I222" r:id="rId119" xr:uid="{B034FAA2-7C7D-4119-83EE-90CCE73E90B5}"/>
    <hyperlink ref="I223" r:id="rId120" xr:uid="{9FFBE0A9-7E2A-4561-A8A5-441C3391BE05}"/>
    <hyperlink ref="I224" r:id="rId121" xr:uid="{E3BECAF3-9D0B-485C-92D5-E87F6B2326CC}"/>
    <hyperlink ref="I225" r:id="rId122" xr:uid="{92D47D51-6B40-4C9E-84BC-A095DB6D2DD9}"/>
    <hyperlink ref="I228" r:id="rId123" xr:uid="{A3B1B646-C68B-4761-B5D6-0A42C052300B}"/>
    <hyperlink ref="I229" r:id="rId124" xr:uid="{7A8EEE36-F00C-46D6-8B8D-506DFB2C55E7}"/>
    <hyperlink ref="I231" r:id="rId125" xr:uid="{864B619D-5606-4D65-B1CC-58FD24A90EC5}"/>
    <hyperlink ref="I232" r:id="rId126" xr:uid="{EACFDBB1-6E58-4EDC-87E8-D32EE242209D}"/>
    <hyperlink ref="I234" r:id="rId127" xr:uid="{77DD02C5-325A-4CE5-B88A-FF3825DC6424}"/>
    <hyperlink ref="I235" r:id="rId128" xr:uid="{2C4B5466-A5D2-4EE9-84B0-337F00A5F733}"/>
    <hyperlink ref="I236" r:id="rId129" xr:uid="{60B6F43B-DA79-4FC2-8157-3E0953116C37}"/>
    <hyperlink ref="I237" r:id="rId130" xr:uid="{DC20D875-AEA0-4315-893D-E8A89FEB401B}"/>
    <hyperlink ref="I238" r:id="rId131" xr:uid="{FA24408E-39A0-4169-9669-F506DFC18EF0}"/>
    <hyperlink ref="I242" r:id="rId132" xr:uid="{53F9D47E-FD3A-4E4C-ADF5-5AE456CF451B}"/>
    <hyperlink ref="I243" r:id="rId133" xr:uid="{81121626-4609-49E5-9457-3E106EB841A2}"/>
    <hyperlink ref="I244" r:id="rId134" xr:uid="{14C7E30A-ADB6-4EE0-9F2D-172A2882E1D5}"/>
    <hyperlink ref="I246" r:id="rId135" xr:uid="{8847FEF0-BB2D-46C2-AD78-A1835F2C1DE1}"/>
    <hyperlink ref="I248" r:id="rId136" xr:uid="{6F64647C-D70A-4401-B41A-35AAA80E7884}"/>
    <hyperlink ref="I249" r:id="rId137" xr:uid="{599833AE-7979-4597-844B-CA63B06A7713}"/>
    <hyperlink ref="I250" r:id="rId138" xr:uid="{27B27C11-4341-4989-B5A0-DA58CF7516F3}"/>
    <hyperlink ref="I251" r:id="rId139" xr:uid="{23E305AF-B72B-4605-9F1B-96BB15536441}"/>
    <hyperlink ref="I252" r:id="rId140" xr:uid="{5FA38616-A5FA-4727-ACBF-BDF91312C109}"/>
    <hyperlink ref="I253" r:id="rId141" xr:uid="{0DA47A80-B788-4F2A-942A-047B9B9904A7}"/>
    <hyperlink ref="I255" r:id="rId142" xr:uid="{73A27323-4ECA-48C1-872A-0264C6F0A473}"/>
    <hyperlink ref="I256" r:id="rId143" xr:uid="{D0736539-934F-4F4D-85BB-7DE885DB9784}"/>
    <hyperlink ref="I257" r:id="rId144" xr:uid="{03E86CBE-70BE-40CF-8F14-1438C7F2221A}"/>
    <hyperlink ref="I258" r:id="rId145" xr:uid="{B5C89E0F-27D7-4F6B-9D86-D2F91DC0EF00}"/>
    <hyperlink ref="I260" r:id="rId146" xr:uid="{5637649A-E08E-4E6E-BD19-FBDCC4BD7900}"/>
    <hyperlink ref="I261" r:id="rId147" xr:uid="{539C3D3A-C497-401C-A158-8D8F9A8BB549}"/>
    <hyperlink ref="I262" r:id="rId148" xr:uid="{E63148A5-4DDC-4B18-BC04-2E09CD77BD74}"/>
    <hyperlink ref="I263" r:id="rId149" xr:uid="{F049D980-B02E-4E1D-9CDE-DECA11D60361}"/>
    <hyperlink ref="I264" r:id="rId150" xr:uid="{680BA161-93AC-4C90-BD29-2523306ABE34}"/>
    <hyperlink ref="I265" r:id="rId151" xr:uid="{2D032FC7-8E5F-4E00-A296-6579B2D56EA5}"/>
    <hyperlink ref="I266" r:id="rId152" xr:uid="{1BC539F5-89D2-412D-B552-B934FC4E2818}"/>
    <hyperlink ref="I268" r:id="rId153" xr:uid="{F074C50B-B13B-4930-B930-7B860A5F9A6A}"/>
    <hyperlink ref="I269" r:id="rId154" xr:uid="{FF873CA3-E66E-4184-B63B-12D80B5F4289}"/>
    <hyperlink ref="I270" r:id="rId155" xr:uid="{DB7030BD-A36A-4BD1-8D7F-C83C78A3A645}"/>
    <hyperlink ref="I272" r:id="rId156" xr:uid="{4AFEEB57-9EEC-4311-A0DE-364AD78109CB}"/>
    <hyperlink ref="I273" r:id="rId157" xr:uid="{90A1BCE5-7BF9-44E7-95B9-BA3E0F27BF16}"/>
    <hyperlink ref="I275" r:id="rId158" xr:uid="{9D768126-37D1-40B5-9BB9-EBCE30EE267A}"/>
    <hyperlink ref="I278" r:id="rId159" xr:uid="{266DB749-D61B-4092-88BC-83541E240437}"/>
    <hyperlink ref="I279" r:id="rId160" xr:uid="{F612F82D-4982-46FF-AE10-DDF11960BBEF}"/>
    <hyperlink ref="I280" r:id="rId161" xr:uid="{92C7AF6E-EBDF-4C0A-9C16-B899C537CDF3}"/>
    <hyperlink ref="I281" r:id="rId162" xr:uid="{C1B96256-3884-45AC-BC23-0B9794D51579}"/>
    <hyperlink ref="I285" r:id="rId163" xr:uid="{D2C6E78E-BC56-4169-AF8E-05CEDB1B2F87}"/>
    <hyperlink ref="I288" r:id="rId164" xr:uid="{11A938A1-B787-421D-B86D-7F66960322F7}"/>
    <hyperlink ref="I287" r:id="rId165" xr:uid="{83F560AA-AFA8-4C6E-B38D-92769F6FB790}"/>
    <hyperlink ref="I289" r:id="rId166" xr:uid="{7EECA11E-EACD-4369-B2F2-019D1C4623EA}"/>
    <hyperlink ref="I290" r:id="rId167" xr:uid="{1A778DA4-26F2-46DC-A196-96BEC7D1128D}"/>
    <hyperlink ref="I291" r:id="rId168" xr:uid="{1AA0C438-DCE2-41E6-8901-334502051655}"/>
    <hyperlink ref="I292" r:id="rId169" xr:uid="{658C2E03-AB40-4DC1-A46B-850AF52A4AEF}"/>
    <hyperlink ref="I293" r:id="rId170" xr:uid="{7EFAA0E3-E72B-4A16-A8F6-E1C7595906FE}"/>
    <hyperlink ref="I294" r:id="rId171" xr:uid="{082B9B03-13B0-4CAB-A9B6-E5E753E0EBD4}"/>
    <hyperlink ref="I295" r:id="rId172" xr:uid="{4139DCB1-CD16-4EB4-98B8-647A5285F34E}"/>
    <hyperlink ref="I296" r:id="rId173" xr:uid="{5C5B3BF4-0B95-4E12-B2C0-35C815299C68}"/>
    <hyperlink ref="I297" r:id="rId174" xr:uid="{D9BCAB8A-4094-4ABE-99ED-7AC6B4E8605C}"/>
    <hyperlink ref="I298" r:id="rId175" xr:uid="{3BDEBCE7-224F-49E9-9CCB-B3AC94E5ED6A}"/>
    <hyperlink ref="I299" r:id="rId176" xr:uid="{0B710723-DA62-45C1-BF27-BB596E3E0EE4}"/>
    <hyperlink ref="I300" r:id="rId177" xr:uid="{251D2A83-42E5-4DD0-A4FB-8A112483D0B7}"/>
    <hyperlink ref="I301" r:id="rId178" xr:uid="{1759E9A2-3562-4DC4-886F-2224A9DA8CAF}"/>
    <hyperlink ref="I302" r:id="rId179" xr:uid="{04750CBF-1BAE-46EF-AB7E-B97790FAEDA1}"/>
    <hyperlink ref="I303" r:id="rId180" xr:uid="{AAEE7789-9AB9-4E67-936D-EA20D802B93D}"/>
    <hyperlink ref="I304" r:id="rId181" xr:uid="{2E7E17B1-22D1-40BC-86B4-6179C61AEDF4}"/>
    <hyperlink ref="I305" r:id="rId182" xr:uid="{7A0E4A8D-D4B8-4E95-B351-E08034E5D6C9}"/>
    <hyperlink ref="I308" r:id="rId183" xr:uid="{EE88E22A-66A0-419C-BCAB-1F2B12AE80BE}"/>
    <hyperlink ref="I309" r:id="rId184" xr:uid="{C15FCC28-B8C0-4C52-9604-41BE90ABB813}"/>
    <hyperlink ref="I310" r:id="rId185" xr:uid="{00206CCD-5B24-470F-8744-4DCE394B1B37}"/>
    <hyperlink ref="I311" r:id="rId186" xr:uid="{5157AD9F-F722-4E5E-909B-1EA1C929A964}"/>
    <hyperlink ref="I312" r:id="rId187" xr:uid="{205EEE36-3888-418F-86D3-A72AECDFB75B}"/>
    <hyperlink ref="I313" r:id="rId188" xr:uid="{904E3FB0-BD26-4259-9E4A-15A3EF8A57F2}"/>
    <hyperlink ref="I315" r:id="rId189" xr:uid="{C231DB6A-257F-4B5D-97B3-BA7E2CFA901C}"/>
    <hyperlink ref="I316" r:id="rId190" xr:uid="{C9E75008-7C34-4CAD-97E6-1497583E19F9}"/>
    <hyperlink ref="I317" r:id="rId191" xr:uid="{B58062BB-3978-4936-8579-EFF1DF0C9A9F}"/>
    <hyperlink ref="I318" r:id="rId192" xr:uid="{C4AD5476-A706-4C4E-B686-3C754CE87647}"/>
    <hyperlink ref="I319" r:id="rId193" xr:uid="{EE747DCC-A507-4A8D-906B-7D76C8A499C0}"/>
    <hyperlink ref="I320" r:id="rId194" xr:uid="{C0E54393-C4DC-4BF5-A782-AFB520736A29}"/>
    <hyperlink ref="I321" r:id="rId195" xr:uid="{D62B3439-ACC3-4E9C-A0CE-BC2A27372396}"/>
    <hyperlink ref="I322" r:id="rId196" xr:uid="{6F7ED209-087C-4D1C-AB0A-973820B7DF1A}"/>
    <hyperlink ref="I323" r:id="rId197" xr:uid="{9C3EBE82-7DE2-428E-8E12-0383C61D563A}"/>
    <hyperlink ref="I324" r:id="rId198" xr:uid="{BDB3A76A-8516-42F2-8C9B-BD8EC0D1DF2E}"/>
    <hyperlink ref="I325" r:id="rId199" xr:uid="{18B1A5E5-20F5-487E-A54E-FFE4A19F8BF8}"/>
    <hyperlink ref="I326" r:id="rId200" xr:uid="{384A2E6F-4AAF-4617-8DED-B20EFACF851F}"/>
    <hyperlink ref="I153" r:id="rId201" xr:uid="{A48C4372-96AB-4A75-AE87-3CA345327CF6}"/>
    <hyperlink ref="I154" r:id="rId202" xr:uid="{DB3E6C11-1DA8-4569-824C-91896E913695}"/>
    <hyperlink ref="I155" r:id="rId203" xr:uid="{0BE74C00-73E2-4A2C-8CE0-17BA832CDF53}"/>
    <hyperlink ref="I156" r:id="rId204" xr:uid="{62E443F4-C7EB-497C-8D87-F1A6E785FA56}"/>
    <hyperlink ref="I160" r:id="rId205" xr:uid="{B4EB1D3F-2B7C-403D-8F2B-5D2726D59FC4}"/>
    <hyperlink ref="I161" r:id="rId206" xr:uid="{1BB01EA5-05EE-4419-BC68-8AA5C0D00A98}"/>
    <hyperlink ref="I162" r:id="rId207" xr:uid="{832B1A3C-D815-4EBB-B5BD-5526C222E012}"/>
    <hyperlink ref="I163" r:id="rId208" xr:uid="{7C1C9C5D-D576-4926-96DB-B389CEBA57B7}"/>
    <hyperlink ref="I164" r:id="rId209" xr:uid="{EF872DDD-8DC6-4D07-A50D-72AC4070D961}"/>
    <hyperlink ref="I165" r:id="rId210" xr:uid="{DB98D9D2-B381-471F-A1EF-17479172D230}"/>
    <hyperlink ref="I166" r:id="rId211" xr:uid="{BCD95687-0664-43BD-8CE6-9B15D3C06816}"/>
    <hyperlink ref="I167" r:id="rId212" xr:uid="{AA8C1642-3C57-478B-BAFE-29E5BE84FCE3}"/>
    <hyperlink ref="I168" r:id="rId213" xr:uid="{E5797224-8207-4CA4-8AB2-1487B5311488}"/>
    <hyperlink ref="I175" r:id="rId214" xr:uid="{CC3E658B-D2F1-456C-90D1-B63534E80C49}"/>
    <hyperlink ref="I182" r:id="rId215" xr:uid="{C1EB8ED4-9FE7-41AC-BC7C-35500BE72B4A}"/>
    <hyperlink ref="I183" r:id="rId216" xr:uid="{3D0FCC42-CFD9-46E5-BC3E-D4FD656CBAB6}"/>
    <hyperlink ref="I148" r:id="rId217" xr:uid="{9538D604-95E3-40B2-88BC-3CFD7D58AF20}"/>
    <hyperlink ref="I149" r:id="rId218" xr:uid="{F8E6A077-A3C4-410F-B306-E36A8B03DDA4}"/>
    <hyperlink ref="I158" r:id="rId219" xr:uid="{B7609E3B-EFA6-46E5-B1E4-8FB1EFE75C2B}"/>
    <hyperlink ref="I286" r:id="rId220" xr:uid="{C18DC7D2-398D-4F11-84C2-CEC51016CC95}"/>
  </hyperlinks>
  <pageMargins left="0.7" right="0.7" top="0.75" bottom="0.75" header="0.3" footer="0.3"/>
  <pageSetup paperSize="9" orientation="portrait" r:id="rId2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86FD-DDA0-49CD-BD17-B3C885927D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KMLs</vt:lpstr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Saugata Choudhury</dc:creator>
  <cp:keywords/>
  <dc:description/>
  <cp:lastModifiedBy>Saugata Choudhury</cp:lastModifiedBy>
  <cp:revision/>
  <dcterms:created xsi:type="dcterms:W3CDTF">2026-06-12T05:08:37Z</dcterms:created>
  <dcterms:modified xsi:type="dcterms:W3CDTF">2026-07-09T07:32:31Z</dcterms:modified>
  <cp:category/>
  <cp:contentStatus/>
</cp:coreProperties>
</file>